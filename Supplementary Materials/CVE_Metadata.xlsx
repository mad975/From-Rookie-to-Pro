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124226"/>
  <mc:AlternateContent xmlns:mc="http://schemas.openxmlformats.org/markup-compatibility/2006">
    <mc:Choice Requires="x15">
      <x15ac:absPath xmlns:x15ac="http://schemas.microsoft.com/office/spreadsheetml/2010/11/ac" url="/Users/moustapha.diouf/Downloads/"/>
    </mc:Choice>
  </mc:AlternateContent>
  <xr:revisionPtr revIDLastSave="0" documentId="13_ncr:1_{8C1EADDC-299B-BA48-8FB1-287FE4FDA9FA}" xr6:coauthVersionLast="47" xr6:coauthVersionMax="47" xr10:uidLastSave="{00000000-0000-0000-0000-000000000000}"/>
  <bookViews>
    <workbookView xWindow="0" yWindow="660" windowWidth="30240" windowHeight="18980" activeTab="2" xr2:uid="{00000000-000D-0000-FFFF-FFFF00000000}"/>
  </bookViews>
  <sheets>
    <sheet name="RQ2" sheetId="5" state="hidden" r:id="rId1"/>
    <sheet name="RQ3" sheetId="6" state="hidden" r:id="rId2"/>
    <sheet name="Deploy_Odoo" sheetId="7" r:id="rId3"/>
    <sheet name="Dashboard" sheetId="4" r:id="rId4"/>
    <sheet name="Data" sheetId="3" r:id="rId5"/>
  </sheets>
  <definedNames>
    <definedName name="Slicer_Country">#N/A</definedName>
  </definedNames>
  <calcPr calcId="191028"/>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5" l="1"/>
  <c r="K22" i="5"/>
  <c r="K17" i="5"/>
  <c r="K18" i="5"/>
  <c r="K13" i="5"/>
  <c r="K14" i="5"/>
  <c r="K9" i="5"/>
  <c r="K10" i="5"/>
  <c r="K5" i="5"/>
  <c r="K6" i="5"/>
  <c r="D25" i="5"/>
  <c r="E25" i="5"/>
  <c r="F25" i="5"/>
  <c r="G25" i="5"/>
  <c r="H25" i="5"/>
  <c r="I25" i="5"/>
  <c r="J25" i="5"/>
  <c r="E26" i="5"/>
  <c r="F26" i="5"/>
  <c r="G26" i="5"/>
  <c r="H26" i="5"/>
  <c r="I26" i="5"/>
  <c r="J26" i="5"/>
  <c r="D26" i="5"/>
  <c r="C25" i="5"/>
  <c r="C26" i="5"/>
  <c r="J24" i="5"/>
  <c r="J27" i="5"/>
  <c r="I24" i="5"/>
  <c r="I27" i="5"/>
  <c r="H24" i="5"/>
  <c r="H27" i="5"/>
  <c r="G24" i="5"/>
  <c r="G27" i="5"/>
  <c r="F24" i="5"/>
  <c r="F27" i="5"/>
  <c r="E24" i="5"/>
  <c r="E27" i="5"/>
  <c r="D24" i="5"/>
  <c r="D27" i="5"/>
  <c r="C27" i="5"/>
  <c r="C24" i="5"/>
  <c r="K7" i="5"/>
  <c r="K8" i="5"/>
  <c r="K11" i="5"/>
  <c r="K12" i="5"/>
  <c r="K15" i="5"/>
  <c r="K16" i="5"/>
  <c r="K19" i="5"/>
  <c r="K20" i="5"/>
  <c r="K23" i="5"/>
  <c r="K4" i="5"/>
</calcChain>
</file>

<file path=xl/sharedStrings.xml><?xml version="1.0" encoding="utf-8"?>
<sst xmlns="http://schemas.openxmlformats.org/spreadsheetml/2006/main" count="439" uniqueCount="337">
  <si>
    <t>ASR</t>
  </si>
  <si>
    <t>CVE-2017-10804</t>
  </si>
  <si>
    <t>CVE-2018-14885</t>
  </si>
  <si>
    <t>CVE-2018-15632</t>
  </si>
  <si>
    <t>CVE-2019-11780</t>
  </si>
  <si>
    <t>CVE-2021-23203</t>
  </si>
  <si>
    <t>CVE-2021-45111</t>
  </si>
  <si>
    <t>CVE-2023-48050</t>
  </si>
  <si>
    <t>CVE-2024-36259</t>
  </si>
  <si>
    <t>Sum per LLM</t>
  </si>
  <si>
    <t>Claude-Opus-4.1</t>
  </si>
  <si>
    <t>RSA</t>
  </si>
  <si>
    <t>PersonaPrompt</t>
  </si>
  <si>
    <t>DAP</t>
  </si>
  <si>
    <t>GPTFuzzer</t>
  </si>
  <si>
    <t>Copilot</t>
  </si>
  <si>
    <t>DeepSeek-V3</t>
  </si>
  <si>
    <t>Gemini-2.5-Pro</t>
  </si>
  <si>
    <t>GPT-4o</t>
  </si>
  <si>
    <t>Sum per CVE</t>
  </si>
  <si>
    <t>Number of Requests</t>
  </si>
  <si>
    <t>CVE ID</t>
  </si>
  <si>
    <t>Description</t>
  </si>
  <si>
    <t>CVSS v3.1</t>
  </si>
  <si>
    <t>Severity</t>
  </si>
  <si>
    <t>Version</t>
  </si>
  <si>
    <t>Commit</t>
  </si>
  <si>
    <t>Commit ID [FIX]</t>
  </si>
  <si>
    <t>Commit Hash [FIX]</t>
  </si>
  <si>
    <t>Commit ID [Vulnerable]</t>
  </si>
  <si>
    <t>Commit Hash [Vulnerable]</t>
  </si>
  <si>
    <t>Links</t>
  </si>
  <si>
    <t>In Odoo 8.0, Odoo Community Edition 9.0 and 10.0, and Odoo Enterprise Edition 9.0 and 10.0, remote attackers can bypass authentication under certain circumstances because parameters containing 0x00 characters are truncated before reaching the database layer. This occurs because Psycopg 2.x before 2.6.3 is used.</t>
  </si>
  <si>
    <t>9.8</t>
  </si>
  <si>
    <t>Critical</t>
  </si>
  <si>
    <t>8.0</t>
  </si>
  <si>
    <t>"[FIX] sql_db: port fix from psycopg/psycopg2#459 NUL characters must not be used in query parameters, as they will be ignored by libpq, being end-of-string characters. Preventing NULs avoids unexpected results from queries. It is only necessary with psycopg2 versions before 2.7, which includes the upstream fix."</t>
  </si>
  <si>
    <t>eb8d919</t>
  </si>
  <si>
    <t>eb8d9190154a72d557674fcffb2a397bce5daed9</t>
  </si>
  <si>
    <t>46263eb</t>
  </si>
  <si>
    <t>46263eb398443f2e19c737c4488f43990f244085</t>
  </si>
  <si>
    <t>"http://initd.org/psycopg/docs/news.html#what-s-new-in-psycopg-2-6-3 https://github.com/psycopg/psycopg2/issues/420"</t>
  </si>
  <si>
    <t>9.0</t>
  </si>
  <si>
    <t>e3a52a9</t>
  </si>
  <si>
    <t>e3a52a9966d4d99cebf7dc95437ecadf87897f69</t>
  </si>
  <si>
    <t>2bf6005</t>
  </si>
  <si>
    <t>2bf6005e6a2ecf9c44d17f8b886e02c2670d84bf</t>
  </si>
  <si>
    <t>10.0</t>
  </si>
  <si>
    <t>4acfe35</t>
  </si>
  <si>
    <t>4acfe3577b910e090bc67ad80982208cd660f8e5</t>
  </si>
  <si>
    <t>acf7c14</t>
  </si>
  <si>
    <t>acf7c1460afd169d0ab12155c68e0edd6abde027</t>
  </si>
  <si>
    <t>Improper access control in reporting engine of Odoo Community 14.0 through 15.0, and Odoo Enterprise 14.0 through 15.0, allows remote attackers to download PDF reports for arbitrary documents, via crafted requests.</t>
  </si>
  <si>
    <t>7.5</t>
  </si>
  <si>
    <t>High</t>
  </si>
  <si>
    <t>14.0</t>
  </si>
  <si>
    <t>"[FIX] base: correct evaluation context for report rendering Fix of 57665a0 which was problematic in point_of_sale"</t>
  </si>
  <si>
    <t>f2c1ee5</t>
  </si>
  <si>
    <t>f2c1ee5a622db33a4411e7f9285f09387d1d7480</t>
  </si>
  <si>
    <t>ff1db4a</t>
  </si>
  <si>
    <t>ff1db4a6aea522cf3dfc80ca88e64ffecfb5e07c</t>
  </si>
  <si>
    <t>https://www.debian.org/security/2023/dsa-5399</t>
  </si>
  <si>
    <t>15.0</t>
  </si>
  <si>
    <t>SQL injection vulnerability in Cams Biometrics Zkteco, eSSL, Cams Biometrics Integration Module with HR Attendance (aka odoo-biometric-attendance) v. 13.0 through 16.0.1 allows a remote attacker to execute arbitrary code and to gain privileges via the db parameter in the controllers/controllers.py component.</t>
  </si>
  <si>
    <t>13.0 through 16.0.1</t>
  </si>
  <si>
    <t>N/A</t>
  </si>
  <si>
    <t>Improper access control in Odoo Community 15.0 and earlier and Odoo Enterprise 15.0 and earlier allows remote authenticated users to trigger the creation of demonstration data, including user accounts with known credentials.</t>
  </si>
  <si>
    <t>8.1</t>
  </si>
  <si>
    <t>13.0</t>
  </si>
  <si>
    <t>"[FIX] ir_demo.py: Force admin access to load demo data Only admin users should be able to load demo data, if needed. This is only possible from the settings dashboard, and thus, the method could be decorated. See: c002e2e"</t>
  </si>
  <si>
    <t>2df06fe</t>
  </si>
  <si>
    <t>2df06fef46d358db9c74c00da5684110073c494c</t>
  </si>
  <si>
    <t>83c927f</t>
  </si>
  <si>
    <t>83c927f347e93c54610f7855f5399c200eed13ce</t>
  </si>
  <si>
    <t>d326153</t>
  </si>
  <si>
    <t>d326153e016f93c22f40ad8fb146bb4108bb94dc</t>
  </si>
  <si>
    <t>49050c1</t>
  </si>
  <si>
    <t>49050c124795852ce7ad51b92958498972730dcf</t>
  </si>
  <si>
    <t>Improper access control in the computed fields system of the framework of Odoo Community 13.0 and Odoo Enterprise 13.0 allows remote authenticated attackers to access sensitive information via crafted RPC requests, which could lead to privilege escalation.</t>
  </si>
  <si>
    <t>"[FIX] fields: compute_sudo defaults to True for stored fields only The default `compute_sudo=True` makes sense for recomputing stored fields that are indirectly related to a business operation. This ensures that the recomputation of the field does not break an operation that is not aware of the fields to recompute. However, computing non-stored fields in superuser mode is usually not necessary. It even leads to unexpected values: counting a partner's sales orders does not give the same result in superuser mode as in normal mode. That is why non-stored fields are not computed in superuser mode by default. [FIX] account, delivery, event, hr_recruitment, point_of_sale, stock: adapt the model definition to make all fields with the same compute method have the same value for `compute_sudo`. [FIX] sale: split the computation of `invoice_ids`, `invoice_count` (non-stored) and `invoice_status` (stored), as no code is actually shared. closes #38805 Signed-off-by: Olivier Dony (odo) &lt;odo@openerp.com&gt;"</t>
  </si>
  <si>
    <t>843fd38</t>
  </si>
  <si>
    <t>843fd38a97f02b49dc09d7f55919072d272fd80e</t>
  </si>
  <si>
    <t>9492b01</t>
  </si>
  <si>
    <t>9492b0196de5eed25818fb5ef06bcfd3103ff987</t>
  </si>
  <si>
    <t>Improper input validation in database creation logic in Odoo Community 11.0 and earlier and Odoo Enterprise 11.0 and earlier, allows remote attackers to initialize an empty database on which they can connect with default credentials.</t>
  </si>
  <si>
    <t>9.1</t>
  </si>
  <si>
    <t>11.0</t>
  </si>
  <si>
    <t>[FIX] loading: require install mode to trigger db init</t>
  </si>
  <si>
    <t>a1dc2af</t>
  </si>
  <si>
    <t>a1dc2af007e3d4caa89792239e2ef5c934f321b7</t>
  </si>
  <si>
    <t>3f06c22</t>
  </si>
  <si>
    <t>3f06c220bf0d8f4fa0ee8f5135a358ae26b26aab</t>
  </si>
  <si>
    <t>Incorrect access control in the database manager component in Odoo Community 10.0 and 11.0 and Odoo Enterprise 10.0 and 11.0 allows a remote attacker to restore a database dump without knowing the super-admin password. An arbitrary password succeeds.</t>
  </si>
  <si>
    <t>"[FIX] web: clean data_file after restore The file used for the restoration was not properly removed"</t>
  </si>
  <si>
    <t>b020308</t>
  </si>
  <si>
    <t>b0203084133bee0dadc004debf3b0fb2835d0ffd</t>
  </si>
  <si>
    <t>4e4dd4d</t>
  </si>
  <si>
    <t>4e4dd4dfa2b898c064df93199f882c3829574d44</t>
  </si>
  <si>
    <t>https://github.com/odoo/odoo/commits/master</t>
  </si>
  <si>
    <t>5decf4a</t>
  </si>
  <si>
    <t>5decf4ab3da7484f8418d648688fbe4250ea7fdd</t>
  </si>
  <si>
    <t>6d83f70</t>
  </si>
  <si>
    <t>6d83f700144b29150050900430e8166d3d3345f7</t>
  </si>
  <si>
    <t>Improper access control in mail module of Odoo Community 17.0 and Odoo Enterprise 17.0 allows remote authenticated attackers to extract sensitive information via an oracle-based (yes/no response) crafted attack.</t>
  </si>
  <si>
    <t>17.0</t>
  </si>
  <si>
    <t>2007e69ef7798b2e32daa0ed64ec76f2e5c0d4e1</t>
  </si>
  <si>
    <t>Senegal</t>
  </si>
  <si>
    <t>Derf</t>
  </si>
  <si>
    <t>Angola</t>
  </si>
  <si>
    <t>UNITEL SA</t>
  </si>
  <si>
    <t>Algeria</t>
  </si>
  <si>
    <t>41.111.0.0/20 LAGHOUAT RESIDENTIEL</t>
  </si>
  <si>
    <t>South Sudan</t>
  </si>
  <si>
    <t>SpaceX Services, Inc.</t>
  </si>
  <si>
    <t>JUBA NETWORK CO. LTD</t>
  </si>
  <si>
    <t>Ghana</t>
  </si>
  <si>
    <t>Ghana Telecommunications Company Limited</t>
  </si>
  <si>
    <t>Cameroon</t>
  </si>
  <si>
    <t>Internet Service Provider</t>
  </si>
  <si>
    <t>Libya</t>
  </si>
  <si>
    <t>Aljuman Aljadeed Limited Liability company</t>
  </si>
  <si>
    <t>South Africa</t>
  </si>
  <si>
    <t>VPS Hostafrica</t>
  </si>
  <si>
    <t>Huawei Cloud SouthAfrica Region</t>
  </si>
  <si>
    <t>Vodacom ENS</t>
  </si>
  <si>
    <t>1-grid</t>
  </si>
  <si>
    <t>Somalia</t>
  </si>
  <si>
    <t>Telesom</t>
  </si>
  <si>
    <t>Somlink Wireless Network</t>
  </si>
  <si>
    <t>Somtel Somalia LTD</t>
  </si>
  <si>
    <t>Somali Optical Networks</t>
  </si>
  <si>
    <t>Nigeria</t>
  </si>
  <si>
    <t>Mainone Cable Company</t>
  </si>
  <si>
    <t>Ethiopia</t>
  </si>
  <si>
    <t>Ethio Telecom</t>
  </si>
  <si>
    <t>To ERs logically close to BL-BR</t>
  </si>
  <si>
    <t>Tanzania, United Republic of</t>
  </si>
  <si>
    <t>Electronic Government Agency (EGA)</t>
  </si>
  <si>
    <t>TANZANIA TELECOMMUNICATIONS CO. LTD</t>
  </si>
  <si>
    <t>Kenya</t>
  </si>
  <si>
    <t>Faiba</t>
  </si>
  <si>
    <t>Egypt</t>
  </si>
  <si>
    <t>TE Data</t>
  </si>
  <si>
    <t>Link Egypt (Link.NET)</t>
  </si>
  <si>
    <t>RT-ADSL-project</t>
  </si>
  <si>
    <t>Tunisia</t>
  </si>
  <si>
    <t>ATI - Agence Tunisienne Internet</t>
  </si>
  <si>
    <t>Madagascar</t>
  </si>
  <si>
    <t>Telecom Malagasy</t>
  </si>
  <si>
    <t>Ministry of Education and Research (MESupReS)</t>
  </si>
  <si>
    <t>Morocco</t>
  </si>
  <si>
    <t>MEDITELECOM</t>
  </si>
  <si>
    <t>Université Hassan II - Casablanca</t>
  </si>
  <si>
    <t>Guinea</t>
  </si>
  <si>
    <t>ORANGE GUINEE</t>
  </si>
  <si>
    <t>MouNa Servers located a GUILAB</t>
  </si>
  <si>
    <t>Benin</t>
  </si>
  <si>
    <t>ISOCEL SA</t>
  </si>
  <si>
    <t>Telecom Algeria</t>
  </si>
  <si>
    <t>Adex Technology Cloud Ressources</t>
  </si>
  <si>
    <t>Côte d'Ivoire</t>
  </si>
  <si>
    <t>ORANGE COTE D'IVOIRE</t>
  </si>
  <si>
    <t>VEONE</t>
  </si>
  <si>
    <t>MainOne Cable Company (Ghana) Ltd</t>
  </si>
  <si>
    <t>Libya Telecom &amp; Technology Data Center Pool</t>
  </si>
  <si>
    <t>Oracle Corporation</t>
  </si>
  <si>
    <t>Webhosting - JNB01</t>
  </si>
  <si>
    <t>xneelo-tscolo</t>
  </si>
  <si>
    <t>Microsoft Corporation</t>
  </si>
  <si>
    <t>Amazon Data Services South Africa</t>
  </si>
  <si>
    <t>Mali</t>
  </si>
  <si>
    <t>Assigner-services-Backbone-B2B-B2C</t>
  </si>
  <si>
    <t>Hormuud Telecom Somalia INC</t>
  </si>
  <si>
    <t>Mauritius</t>
  </si>
  <si>
    <t>MauritiusTelecom</t>
  </si>
  <si>
    <t>FIBERONE BROADBAND</t>
  </si>
  <si>
    <t>Airtel Networks Limited</t>
  </si>
  <si>
    <t>Etisalat-Misr 3G subscribers</t>
  </si>
  <si>
    <t>Nile Online</t>
  </si>
  <si>
    <t>This subnet is used for Mobinil 3G internet users/customers</t>
  </si>
  <si>
    <t>Vodafone Data</t>
  </si>
  <si>
    <t>OXAHOST</t>
  </si>
  <si>
    <t>PRO</t>
  </si>
  <si>
    <t>2G and 3G public DHCP services</t>
  </si>
  <si>
    <t>Sudan</t>
  </si>
  <si>
    <t>MAX NET FOR INTERNET SERVICES</t>
  </si>
  <si>
    <t>Office National des Postes et Telecommunications ONPT (Maroc Telecom) / IAM</t>
  </si>
  <si>
    <t>SONATEL Societe Nationale Des Telecommunications Du Senegal</t>
  </si>
  <si>
    <t>MOUNA Group Technology Sa.</t>
  </si>
  <si>
    <t>SUD TELECOM SOLUTIONS</t>
  </si>
  <si>
    <t>Costumers</t>
  </si>
  <si>
    <t>ZAP-Angola</t>
  </si>
  <si>
    <t>ADEX Technology</t>
  </si>
  <si>
    <t>This subnet is for end users public servers in case of Virtual private Cloud or Virtual dedicated servers</t>
  </si>
  <si>
    <t>SIBETON</t>
  </si>
  <si>
    <t>CAMTEL</t>
  </si>
  <si>
    <t>Vinet Internet Solutions</t>
  </si>
  <si>
    <t>CK23-AFRINIC</t>
  </si>
  <si>
    <t>HA-VPS-NET</t>
  </si>
  <si>
    <t>CloudAfrica Hosting (PTY) LTD</t>
  </si>
  <si>
    <t>DIAMATRIX C.C</t>
  </si>
  <si>
    <t>SahdsoftVPS</t>
  </si>
  <si>
    <t>Hormuud-Telecom-Somalia-inc</t>
  </si>
  <si>
    <t>Nigeria ICT Forum of Partnership Institutions</t>
  </si>
  <si>
    <t>Simbanet (T) Limited</t>
  </si>
  <si>
    <t>Softnet Technologies Limited</t>
  </si>
  <si>
    <t>Safaricom Limited</t>
  </si>
  <si>
    <t>Rwanda</t>
  </si>
  <si>
    <t>Kalisimbi</t>
  </si>
  <si>
    <t>RDC</t>
  </si>
  <si>
    <t>Link Egypt</t>
  </si>
  <si>
    <t>Link  Development</t>
  </si>
  <si>
    <t>Center</t>
  </si>
  <si>
    <t>EG-saker-NET BANHA EGYPT</t>
  </si>
  <si>
    <t>TE Data-New</t>
  </si>
  <si>
    <t>Vodafone-Data-Routes</t>
  </si>
  <si>
    <t>Reserved for MB (WiFi) New Era Project in The Activation Phase</t>
  </si>
  <si>
    <t>Contact: network@dyxis.com</t>
  </si>
  <si>
    <t>Uganda</t>
  </si>
  <si>
    <t>KAMPALA SITI CABLE LIMITED</t>
  </si>
  <si>
    <t>Sonatel</t>
  </si>
  <si>
    <t>16.0</t>
  </si>
  <si>
    <t>Mauritania</t>
  </si>
  <si>
    <t>Chinguitel S.A</t>
  </si>
  <si>
    <t>Djibouti</t>
  </si>
  <si>
    <t>Leased Line Network</t>
  </si>
  <si>
    <t>Congo, The Democratic Republic of the</t>
  </si>
  <si>
    <t>Global Broadband Solution</t>
  </si>
  <si>
    <t>SOCIETE BENINOISE D'INFRASTRUCTURES NUMERIQUES</t>
  </si>
  <si>
    <t>Paratus Telecommunications Limited</t>
  </si>
  <si>
    <t>Residentiel Tlemcen 41.100.0.0/17</t>
  </si>
  <si>
    <t>Octenium</t>
  </si>
  <si>
    <t>ADSL Network for CAMTEL NKONGSAMBA infrastructure</t>
  </si>
  <si>
    <t>Giga for Telecommunication and Technology Limited</t>
  </si>
  <si>
    <t>Libyan Spider Datacenter</t>
  </si>
  <si>
    <t>Organisation: OZON-Aljadeed</t>
  </si>
  <si>
    <t>DataKeepers (Pty) Ltd</t>
  </si>
  <si>
    <t>Microsoft (S.A.) (Proprietary) Limited</t>
  </si>
  <si>
    <t>Vultr Holdings, LLC</t>
  </si>
  <si>
    <t>CipherWave</t>
  </si>
  <si>
    <t>Kaopu Cloud HK Limited</t>
  </si>
  <si>
    <t>Host Africa (Pty) Ltd</t>
  </si>
  <si>
    <t>Liquid Telecommunications Operations Limited</t>
  </si>
  <si>
    <t>Teraco JHB Cloud VM</t>
  </si>
  <si>
    <t>Microsoft</t>
  </si>
  <si>
    <t>Assigner-services-Backbone</t>
  </si>
  <si>
    <t>Afribone Backbone + WLL</t>
  </si>
  <si>
    <t>NOBUS WA AZ1 INET PUB1</t>
  </si>
  <si>
    <t>SAFARICOM TELECOMMUNICATIONS ETHIOPIA PLC</t>
  </si>
  <si>
    <t>ET_DIA_Direct_Internet</t>
  </si>
  <si>
    <t>ALEMYE_AGRICALCHERAL_INVESTMEMT</t>
  </si>
  <si>
    <t>THE KONZA TECHNOPOLIS DEVELOPMENT AUTHORITY</t>
  </si>
  <si>
    <t>JTL-KARIBU</t>
  </si>
  <si>
    <t>Hosted Services</t>
  </si>
  <si>
    <t>Airtouch Connections Limited</t>
  </si>
  <si>
    <t>Zambia</t>
  </si>
  <si>
    <t>WORLD BANK</t>
  </si>
  <si>
    <t>Clients Airfiber business</t>
  </si>
  <si>
    <t>Mozambique</t>
  </si>
  <si>
    <t>ADSL_Maroc_telecom</t>
  </si>
  <si>
    <t>Zimbabwe</t>
  </si>
  <si>
    <t>Servers</t>
  </si>
  <si>
    <t>DFA Zimbabwe</t>
  </si>
  <si>
    <t>16.4</t>
  </si>
  <si>
    <t>Mauritanian Telecommunication Company</t>
  </si>
  <si>
    <t>ISSALNET SARL</t>
  </si>
  <si>
    <t>Icosnet SPA</t>
  </si>
  <si>
    <t>AYRADE NETWORK</t>
  </si>
  <si>
    <t>Smart Network Limited</t>
  </si>
  <si>
    <t>MTN Network Solutions (Cameroon)</t>
  </si>
  <si>
    <t>ST DIGITAL Datacenter Services CMR</t>
  </si>
  <si>
    <t>SWECOM KRIBI</t>
  </si>
  <si>
    <t>HOSTING</t>
  </si>
  <si>
    <t>Huawei South Africa Clouds</t>
  </si>
  <si>
    <t>Huawei-Cloud-ZA</t>
  </si>
  <si>
    <t>The Constant Company, LLC</t>
  </si>
  <si>
    <t>1 GRID (PTY) LTD</t>
  </si>
  <si>
    <t>HA VPS</t>
  </si>
  <si>
    <t>Broadband</t>
  </si>
  <si>
    <t>DiaMatrix Cloud Services</t>
  </si>
  <si>
    <t>Google LLC</t>
  </si>
  <si>
    <t>Dimension Data</t>
  </si>
  <si>
    <t>Afrihost Dedicated</t>
  </si>
  <si>
    <t>SEACOM Limited</t>
  </si>
  <si>
    <t>Orange Mali SA</t>
  </si>
  <si>
    <t>Togo</t>
  </si>
  <si>
    <t>GVA TOGO</t>
  </si>
  <si>
    <t>CLOUDMU</t>
  </si>
  <si>
    <t>Agence Nationale de Promotion des TIC (ANPTIC)</t>
  </si>
  <si>
    <t>ET_Mobile_Service</t>
  </si>
  <si>
    <t>AA_CITY_GOV_MASSMEDIA</t>
  </si>
  <si>
    <t>Jamii Telecommunications Limited</t>
  </si>
  <si>
    <t>Angani Limited</t>
  </si>
  <si>
    <t>Wavex_Internet_Service_Provider_LTD</t>
  </si>
  <si>
    <t>Axiom Networks Ltd</t>
  </si>
  <si>
    <t>Services in Cairo</t>
  </si>
  <si>
    <t>Huawei-Cloud-EG</t>
  </si>
  <si>
    <t>Internet Egypt is an ISP in Cairo, Egypt</t>
  </si>
  <si>
    <t>Zambia Research and Education Network (ZAMREN)</t>
  </si>
  <si>
    <t>clients grand public sur le réseau 16e</t>
  </si>
  <si>
    <t>Gulfsat Madagascar</t>
  </si>
  <si>
    <t>HAMILTON TELECOM LIMITED</t>
  </si>
  <si>
    <t>NITA-U</t>
  </si>
  <si>
    <t>MTN Uganda</t>
  </si>
  <si>
    <t>IKATEL SONATEL ISP</t>
  </si>
  <si>
    <t>18.0</t>
  </si>
  <si>
    <t>SAGA AFRICA HOLDINGS LIMITED</t>
  </si>
  <si>
    <t>UNLIMITED SARL</t>
  </si>
  <si>
    <t>ISP</t>
  </si>
  <si>
    <t>DATACONNECT COTE D'IVOIRE</t>
  </si>
  <si>
    <t>Sharart Altaqanaya Co, for Telecom &amp; Technology</t>
  </si>
  <si>
    <t>Vodacom Business (ENS)</t>
  </si>
  <si>
    <t>Oracle Svenska AB</t>
  </si>
  <si>
    <t>In2IT  (PTY) Ltd.</t>
  </si>
  <si>
    <t>Pres Connect</t>
  </si>
  <si>
    <t>Visafone Communications Limited,</t>
  </si>
  <si>
    <t>To__BRAS_DHCP_AD_10800E</t>
  </si>
  <si>
    <t>Tatu-Telecom-Company-SEZ-Limited</t>
  </si>
  <si>
    <t>uchumi</t>
  </si>
  <si>
    <t>Local ISP</t>
  </si>
  <si>
    <t>EGIT Data Center Used By EGID</t>
  </si>
  <si>
    <t>AirLink Broadband Limited</t>
  </si>
  <si>
    <t>DATANET.COM LLC</t>
  </si>
  <si>
    <t>PS CASA Marrakech Maroc Telecom</t>
  </si>
  <si>
    <t>2G/3G/4G Mobile Costumers</t>
  </si>
  <si>
    <t>OVHcloud - Maroc</t>
  </si>
  <si>
    <t>Amadeus Zimbawe group members network</t>
  </si>
  <si>
    <t>18.1</t>
  </si>
  <si>
    <t>Sombha Solutions Store Limited</t>
  </si>
  <si>
    <t>VDC Telecom</t>
  </si>
  <si>
    <t>18.4</t>
  </si>
  <si>
    <t>18.5</t>
  </si>
  <si>
    <t>Dashboard</t>
  </si>
  <si>
    <t>Row Labels</t>
  </si>
  <si>
    <t>Count of Title</t>
  </si>
  <si>
    <t>Count of Organization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</si>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</sst>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5"/>
      <color theme="3"/>
      <name val="Calibri"/>
      <family val="2"/>
      <scheme val="minor"/>
    </font>
    <font>
      <sz val="8"/>
      <name val="Calibri"/>
      <family val="2"/>
      <scheme val="minor"/>
    </font>
    <font>
      <b/>
      <sz val="22"/>
      <color theme="3"/>
      <name val="Cambria"/>
      <family val="1"/>
      <scheme val="major"/>
    </font>
    <font>
      <b/>
      <sz val="11"/>
      <color theme="3"/>
      <name val="Calibri"/>
      <family val="2"/>
      <scheme val="minor"/>
    </font>
    <font>
      <b/>
      <sz val="12"/>
      <color theme="1"/>
      <name val="Calibri"/>
      <family val="2"/>
      <scheme val="minor"/>
    </font>
    <font>
      <b/>
      <sz val="11"/>
      <color rgb="FFFF0000"/>
      <name val="Calibri"/>
      <family val="2"/>
      <scheme val="minor"/>
    </font>
    <font>
      <sz val="11"/>
      <color rgb="FFFF0000"/>
      <name val="Calibri"/>
      <family val="2"/>
      <scheme val="minor"/>
    </font>
    <font>
      <b/>
      <sz val="14"/>
      <color theme="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4" tint="0.79998168889431442"/>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auto="1"/>
      </left>
      <right style="thin">
        <color auto="1"/>
      </right>
      <top/>
      <bottom style="thin">
        <color auto="1"/>
      </bottom>
      <diagonal/>
    </border>
    <border>
      <left/>
      <right/>
      <top style="thin">
        <color theme="4"/>
      </top>
      <bottom style="double">
        <color theme="4"/>
      </bottom>
      <diagonal/>
    </border>
    <border>
      <left/>
      <right/>
      <top/>
      <bottom style="double">
        <color theme="4"/>
      </bottom>
      <diagonal/>
    </border>
    <border>
      <left/>
      <right/>
      <top style="thin">
        <color theme="4"/>
      </top>
      <bottom style="thin">
        <color indexed="64"/>
      </bottom>
      <diagonal/>
    </border>
    <border>
      <left/>
      <right/>
      <top style="thin">
        <color indexed="64"/>
      </top>
      <bottom style="double">
        <color theme="4"/>
      </bottom>
      <diagonal/>
    </border>
    <border>
      <left/>
      <right/>
      <top style="thin">
        <color theme="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theme="4"/>
      </top>
      <bottom style="thin">
        <color indexed="64"/>
      </bottom>
      <diagonal/>
    </border>
    <border>
      <left style="thin">
        <color indexed="64"/>
      </left>
      <right/>
      <top style="thin">
        <color theme="4"/>
      </top>
      <bottom style="double">
        <color theme="4"/>
      </bottom>
      <diagonal/>
    </border>
    <border>
      <left/>
      <right style="thin">
        <color indexed="64"/>
      </right>
      <top style="thin">
        <color theme="4"/>
      </top>
      <bottom style="thin">
        <color indexed="64"/>
      </bottom>
      <diagonal/>
    </border>
    <border>
      <left/>
      <right style="thin">
        <color indexed="64"/>
      </right>
      <top style="thin">
        <color theme="4"/>
      </top>
      <bottom style="double">
        <color theme="4"/>
      </bottom>
      <diagonal/>
    </border>
    <border>
      <left/>
      <right/>
      <top/>
      <bottom style="medium">
        <color theme="4" tint="0.39997558519241921"/>
      </bottom>
      <diagonal/>
    </border>
  </borders>
  <cellStyleXfs count="5">
    <xf numFmtId="0" fontId="0" fillId="0" borderId="0"/>
    <xf numFmtId="0" fontId="2" fillId="0" borderId="2" applyNumberFormat="0" applyFill="0" applyAlignment="0" applyProtection="0"/>
    <xf numFmtId="0" fontId="5" fillId="0" borderId="0" applyNumberFormat="0" applyFill="0" applyBorder="0" applyAlignment="0" applyProtection="0"/>
    <xf numFmtId="0" fontId="6" fillId="0" borderId="4" applyNumberFormat="0" applyFill="0" applyAlignment="0" applyProtection="0"/>
    <xf numFmtId="0" fontId="5" fillId="0" borderId="18" applyNumberFormat="0" applyFill="0" applyAlignment="0" applyProtection="0"/>
  </cellStyleXfs>
  <cellXfs count="53">
    <xf numFmtId="0" fontId="0" fillId="0" borderId="0" xfId="0"/>
    <xf numFmtId="0" fontId="0" fillId="0" borderId="0" xfId="0" applyAlignment="1">
      <alignment horizontal="left"/>
    </xf>
    <xf numFmtId="0" fontId="0" fillId="0" borderId="0" xfId="0" pivotButton="1"/>
    <xf numFmtId="0" fontId="6" fillId="0" borderId="7" xfId="3" applyBorder="1" applyAlignment="1">
      <alignment horizontal="left" vertical="center"/>
    </xf>
    <xf numFmtId="0" fontId="6" fillId="0" borderId="5" xfId="3" applyBorder="1" applyAlignment="1">
      <alignment horizontal="left" vertical="center"/>
    </xf>
    <xf numFmtId="0" fontId="5" fillId="0" borderId="12" xfId="2" applyBorder="1"/>
    <xf numFmtId="0" fontId="5" fillId="0" borderId="13" xfId="2" applyBorder="1"/>
    <xf numFmtId="0" fontId="5" fillId="0" borderId="3" xfId="2" applyBorder="1"/>
    <xf numFmtId="0" fontId="0" fillId="0" borderId="9"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7" fillId="0" borderId="0" xfId="0" applyFont="1"/>
    <xf numFmtId="0" fontId="8" fillId="0" borderId="0" xfId="0" applyFont="1"/>
    <xf numFmtId="0" fontId="5" fillId="0" borderId="1" xfId="2" applyBorder="1"/>
    <xf numFmtId="0" fontId="6" fillId="0" borderId="9" xfId="3"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3" borderId="12" xfId="0" applyFill="1" applyBorder="1" applyAlignment="1">
      <alignment horizontal="center" vertical="center"/>
    </xf>
    <xf numFmtId="0" fontId="0" fillId="3" borderId="9" xfId="0" applyFill="1" applyBorder="1" applyAlignment="1">
      <alignment horizontal="center" vertical="center"/>
    </xf>
    <xf numFmtId="11" fontId="0" fillId="0" borderId="0" xfId="0" applyNumberFormat="1"/>
    <xf numFmtId="0" fontId="0" fillId="0" borderId="1" xfId="0" applyBorder="1"/>
    <xf numFmtId="0" fontId="0" fillId="0" borderId="1" xfId="0" applyBorder="1" applyAlignment="1">
      <alignment horizontal="left" vertic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xf numFmtId="0" fontId="0" fillId="4" borderId="1" xfId="0" applyFill="1" applyBorder="1" applyAlignment="1">
      <alignment vertical="center"/>
    </xf>
    <xf numFmtId="0" fontId="0" fillId="4" borderId="1" xfId="0" applyFill="1" applyBorder="1" applyAlignment="1">
      <alignment horizontal="left"/>
    </xf>
    <xf numFmtId="0" fontId="9" fillId="5" borderId="18" xfId="4" applyFont="1" applyFill="1" applyAlignment="1">
      <alignment vertic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center" vertical="center"/>
    </xf>
    <xf numFmtId="0" fontId="0" fillId="0" borderId="12" xfId="0" applyBorder="1" applyAlignment="1">
      <alignment horizontal="left"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4" borderId="12" xfId="0" applyFill="1" applyBorder="1" applyAlignment="1">
      <alignment horizontal="left" vertical="center"/>
    </xf>
    <xf numFmtId="0" fontId="0" fillId="4" borderId="3" xfId="0" applyFill="1" applyBorder="1" applyAlignment="1">
      <alignment horizontal="left" vertical="center"/>
    </xf>
    <xf numFmtId="0" fontId="6" fillId="0" borderId="17" xfId="3" applyBorder="1" applyAlignment="1">
      <alignment horizontal="center" vertical="center"/>
    </xf>
    <xf numFmtId="0" fontId="6" fillId="0" borderId="16" xfId="3" applyBorder="1" applyAlignment="1">
      <alignment horizontal="center" vertical="center"/>
    </xf>
    <xf numFmtId="0" fontId="1" fillId="0" borderId="0" xfId="0" applyFont="1" applyAlignment="1">
      <alignment horizontal="center" vertical="center"/>
    </xf>
    <xf numFmtId="0" fontId="6" fillId="0" borderId="4" xfId="3" applyAlignment="1">
      <alignment horizontal="center" vertical="center"/>
    </xf>
    <xf numFmtId="0" fontId="6" fillId="0" borderId="8" xfId="3" applyBorder="1" applyAlignment="1">
      <alignment horizontal="center" vertical="center"/>
    </xf>
    <xf numFmtId="0" fontId="6" fillId="0" borderId="15" xfId="3" applyBorder="1" applyAlignment="1">
      <alignment horizontal="center" vertical="center"/>
    </xf>
    <xf numFmtId="0" fontId="6" fillId="0" borderId="14" xfId="3" applyBorder="1" applyAlignment="1">
      <alignment horizontal="center" vertical="center"/>
    </xf>
    <xf numFmtId="0" fontId="6" fillId="0" borderId="7" xfId="3" applyBorder="1" applyAlignment="1">
      <alignment horizontal="left" vertical="center"/>
    </xf>
    <xf numFmtId="0" fontId="6" fillId="0" borderId="0" xfId="3" applyBorder="1" applyAlignment="1">
      <alignment horizontal="left" vertical="center"/>
    </xf>
    <xf numFmtId="0" fontId="6" fillId="0" borderId="6" xfId="3" applyBorder="1" applyAlignment="1">
      <alignment horizontal="left" vertical="center"/>
    </xf>
    <xf numFmtId="0" fontId="6" fillId="0" borderId="5" xfId="3" applyBorder="1" applyAlignment="1">
      <alignment horizontal="left" vertical="center"/>
    </xf>
    <xf numFmtId="0" fontId="4" fillId="0" borderId="2" xfId="1" applyFont="1" applyAlignment="1">
      <alignment horizontal="center" vertical="center"/>
    </xf>
  </cellXfs>
  <cellStyles count="5">
    <cellStyle name="Heading 1" xfId="1" builtinId="16"/>
    <cellStyle name="Heading 3" xfId="4" builtinId="18"/>
    <cellStyle name="Heading 4" xfId="2" builtinId="19"/>
    <cellStyle name="Normal" xfId="0" builtinId="0"/>
    <cellStyle name="Total" xfId="3" builtinId="2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[CVE_Metadata..xlsx]Data!PivotTable1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r>
              <a:rPr lang="en-GB" sz="1400"/>
              <a:t>Number of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1400"/>
              <a:t>versions</a:t>
            </a:r>
          </a:p>
        </c:rich>
      </c:tx>
      <c:layout>
        <c:manualLayout>
          <c:xMode val="edge"/>
          <c:yMode val="edge"/>
          <c:x val="3.7123325605844166E-3"/>
          <c:y val="4.057763398655585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endParaRPr lang="en-L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Data!$A$2:$A$12</c:f>
              <c:strCache>
                <c:ptCount val="10"/>
                <c:pt idx="0">
                  <c:v>13.0</c:v>
                </c:pt>
                <c:pt idx="1">
                  <c:v>14.0</c:v>
                </c:pt>
                <c:pt idx="2">
                  <c:v>15.0</c:v>
                </c:pt>
                <c:pt idx="3">
                  <c:v>16.0</c:v>
                </c:pt>
                <c:pt idx="4">
                  <c:v>16.4</c:v>
                </c:pt>
                <c:pt idx="5">
                  <c:v>17.0</c:v>
                </c:pt>
                <c:pt idx="6">
                  <c:v>18.0</c:v>
                </c:pt>
                <c:pt idx="7">
                  <c:v>18.1</c:v>
                </c:pt>
                <c:pt idx="8">
                  <c:v>18.4</c:v>
                </c:pt>
                <c:pt idx="9">
                  <c:v>18.5</c:v>
                </c:pt>
              </c:strCache>
            </c:strRef>
          </c:cat>
          <c:val>
            <c:numRef>
              <c:f>Data!$B$2:$B$12</c:f>
              <c:numCache>
                <c:formatCode>General</c:formatCode>
                <c:ptCount val="10"/>
                <c:pt idx="0">
                  <c:v>48</c:v>
                </c:pt>
                <c:pt idx="1">
                  <c:v>56</c:v>
                </c:pt>
                <c:pt idx="2">
                  <c:v>93</c:v>
                </c:pt>
                <c:pt idx="3">
                  <c:v>117</c:v>
                </c:pt>
                <c:pt idx="4">
                  <c:v>2</c:v>
                </c:pt>
                <c:pt idx="5">
                  <c:v>211</c:v>
                </c:pt>
                <c:pt idx="6">
                  <c:v>110</c:v>
                </c:pt>
                <c:pt idx="7">
                  <c:v>2</c:v>
                </c:pt>
                <c:pt idx="8">
                  <c:v>2</c:v>
                </c:pt>
                <c:pt idx="9">
                  <c:v>1</c:v>
                </c:pt>
              </c:numCache>
            </c:numRef>
          </c:val>
          <c:extLst>
            <c:ext xmlns:c16="http://schemas.microsoft.com/office/drawing/2014/chart" uri="{C3380CC4-5D6E-409C-BE32-E72D297353CC}">
              <c16:uniqueId val="{00000000-067E-B94A-A454-66934811F890}"/>
            </c:ext>
          </c:extLst>
        </c:ser>
        <c:dLbls>
          <c:dLblPos val="inEnd"/>
          <c:showLegendKey val="0"/>
          <c:showVal val="1"/>
          <c:showCatName val="0"/>
          <c:showSerName val="0"/>
          <c:showPercent val="0"/>
          <c:showBubbleSize val="0"/>
        </c:dLbls>
        <c:gapWidth val="41"/>
        <c:axId val="840013728"/>
        <c:axId val="840067760"/>
      </c:barChart>
      <c:catAx>
        <c:axId val="84001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LU"/>
          </a:p>
        </c:txPr>
        <c:crossAx val="840067760"/>
        <c:crosses val="autoZero"/>
        <c:auto val="1"/>
        <c:lblAlgn val="ctr"/>
        <c:lblOffset val="100"/>
        <c:noMultiLvlLbl val="0"/>
      </c:catAx>
      <c:valAx>
        <c:axId val="840067760"/>
        <c:scaling>
          <c:orientation val="minMax"/>
        </c:scaling>
        <c:delete val="1"/>
        <c:axPos val="l"/>
        <c:numFmt formatCode="General" sourceLinked="1"/>
        <c:majorTickMark val="none"/>
        <c:minorTickMark val="none"/>
        <c:tickLblPos val="nextTo"/>
        <c:crossAx val="84001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L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[CVE_Metadata..xlsx]Data!PivotTable4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r>
              <a:rPr lang="en-GB"/>
              <a:t>Number of companies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endParaRPr lang="en-LU"/>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L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Data!$E$2:$E$34</c:f>
              <c:strCache>
                <c:ptCount val="32"/>
                <c:pt idx="0">
                  <c:v>Algeria</c:v>
                </c:pt>
                <c:pt idx="1">
                  <c:v>Angola</c:v>
                </c:pt>
                <c:pt idx="2">
                  <c:v>Benin</c:v>
                </c:pt>
                <c:pt idx="3">
                  <c:v>Cameroon</c:v>
                </c:pt>
                <c:pt idx="4">
                  <c:v>Congo, The Democratic Republic of the</c:v>
                </c:pt>
                <c:pt idx="5">
                  <c:v>Côte d'Ivoire</c:v>
                </c:pt>
                <c:pt idx="6">
                  <c:v>Djibouti</c:v>
                </c:pt>
                <c:pt idx="7">
                  <c:v>Egypt</c:v>
                </c:pt>
                <c:pt idx="8">
                  <c:v>Ethiopia</c:v>
                </c:pt>
                <c:pt idx="9">
                  <c:v>Ghana</c:v>
                </c:pt>
                <c:pt idx="10">
                  <c:v>Guinea</c:v>
                </c:pt>
                <c:pt idx="11">
                  <c:v>Kenya</c:v>
                </c:pt>
                <c:pt idx="12">
                  <c:v>Libya</c:v>
                </c:pt>
                <c:pt idx="13">
                  <c:v>Madagascar</c:v>
                </c:pt>
                <c:pt idx="14">
                  <c:v>Mali</c:v>
                </c:pt>
                <c:pt idx="15">
                  <c:v>Mauritania</c:v>
                </c:pt>
                <c:pt idx="16">
                  <c:v>Mauritius</c:v>
                </c:pt>
                <c:pt idx="17">
                  <c:v>Morocco</c:v>
                </c:pt>
                <c:pt idx="18">
                  <c:v>Mozambique</c:v>
                </c:pt>
                <c:pt idx="19">
                  <c:v>Nigeria</c:v>
                </c:pt>
                <c:pt idx="20">
                  <c:v>Rwanda</c:v>
                </c:pt>
                <c:pt idx="21">
                  <c:v>Senegal</c:v>
                </c:pt>
                <c:pt idx="22">
                  <c:v>Somalia</c:v>
                </c:pt>
                <c:pt idx="23">
                  <c:v>South Africa</c:v>
                </c:pt>
                <c:pt idx="24">
                  <c:v>South Sudan</c:v>
                </c:pt>
                <c:pt idx="25">
                  <c:v>Sudan</c:v>
                </c:pt>
                <c:pt idx="26">
                  <c:v>Tanzania, United Republic of</c:v>
                </c:pt>
                <c:pt idx="27">
                  <c:v>Togo</c:v>
                </c:pt>
                <c:pt idx="28">
                  <c:v>Tunisia</c:v>
                </c:pt>
                <c:pt idx="29">
                  <c:v>Uganda</c:v>
                </c:pt>
                <c:pt idx="30">
                  <c:v>Zambia</c:v>
                </c:pt>
                <c:pt idx="31">
                  <c:v>Zimbabwe</c:v>
                </c:pt>
              </c:strCache>
            </c:strRef>
          </c:cat>
          <c:val>
            <c:numRef>
              <c:f>Data!$F$2:$F$34</c:f>
              <c:numCache>
                <c:formatCode>General</c:formatCode>
                <c:ptCount val="32"/>
                <c:pt idx="0">
                  <c:v>36</c:v>
                </c:pt>
                <c:pt idx="1">
                  <c:v>5</c:v>
                </c:pt>
                <c:pt idx="2">
                  <c:v>8</c:v>
                </c:pt>
                <c:pt idx="3">
                  <c:v>7</c:v>
                </c:pt>
                <c:pt idx="4">
                  <c:v>3</c:v>
                </c:pt>
                <c:pt idx="5">
                  <c:v>16</c:v>
                </c:pt>
                <c:pt idx="6">
                  <c:v>1</c:v>
                </c:pt>
                <c:pt idx="7">
                  <c:v>175</c:v>
                </c:pt>
                <c:pt idx="8">
                  <c:v>36</c:v>
                </c:pt>
                <c:pt idx="9">
                  <c:v>5</c:v>
                </c:pt>
                <c:pt idx="10">
                  <c:v>4</c:v>
                </c:pt>
                <c:pt idx="11">
                  <c:v>18</c:v>
                </c:pt>
                <c:pt idx="12">
                  <c:v>8</c:v>
                </c:pt>
                <c:pt idx="13">
                  <c:v>21</c:v>
                </c:pt>
                <c:pt idx="14">
                  <c:v>4</c:v>
                </c:pt>
                <c:pt idx="15">
                  <c:v>3</c:v>
                </c:pt>
                <c:pt idx="16">
                  <c:v>12</c:v>
                </c:pt>
                <c:pt idx="17">
                  <c:v>52</c:v>
                </c:pt>
                <c:pt idx="18">
                  <c:v>1</c:v>
                </c:pt>
                <c:pt idx="19">
                  <c:v>12</c:v>
                </c:pt>
                <c:pt idx="20">
                  <c:v>3</c:v>
                </c:pt>
                <c:pt idx="21">
                  <c:v>7</c:v>
                </c:pt>
                <c:pt idx="22">
                  <c:v>9</c:v>
                </c:pt>
                <c:pt idx="23">
                  <c:v>125</c:v>
                </c:pt>
                <c:pt idx="24">
                  <c:v>5</c:v>
                </c:pt>
                <c:pt idx="25">
                  <c:v>2</c:v>
                </c:pt>
                <c:pt idx="26">
                  <c:v>6</c:v>
                </c:pt>
                <c:pt idx="27">
                  <c:v>1</c:v>
                </c:pt>
                <c:pt idx="28">
                  <c:v>42</c:v>
                </c:pt>
                <c:pt idx="29">
                  <c:v>6</c:v>
                </c:pt>
                <c:pt idx="30">
                  <c:v>4</c:v>
                </c:pt>
                <c:pt idx="31">
                  <c:v>5</c:v>
                </c:pt>
              </c:numCache>
            </c:numRef>
          </c:val>
          <c:extLst>
            <c:ext xmlns:c16="http://schemas.microsoft.com/office/drawing/2014/chart" uri="{C3380CC4-5D6E-409C-BE32-E72D297353CC}">
              <c16:uniqueId val="{00000000-E16E-134B-95B2-AA00FF992930}"/>
            </c:ext>
          </c:extLst>
        </c:ser>
        <c:dLbls>
          <c:dLblPos val="inEnd"/>
          <c:showLegendKey val="0"/>
          <c:showVal val="1"/>
          <c:showCatName val="0"/>
          <c:showSerName val="0"/>
          <c:showPercent val="0"/>
          <c:showBubbleSize val="0"/>
        </c:dLbls>
        <c:gapWidth val="41"/>
        <c:axId val="1655309440"/>
        <c:axId val="1655374368"/>
      </c:barChart>
      <c:catAx>
        <c:axId val="165530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LU"/>
          </a:p>
        </c:txPr>
        <c:crossAx val="1655374368"/>
        <c:crosses val="autoZero"/>
        <c:auto val="1"/>
        <c:lblAlgn val="ctr"/>
        <c:lblOffset val="100"/>
        <c:noMultiLvlLbl val="0"/>
      </c:catAx>
      <c:valAx>
        <c:axId val="1655374368"/>
        <c:scaling>
          <c:orientation val="minMax"/>
        </c:scaling>
        <c:delete val="1"/>
        <c:axPos val="l"/>
        <c:numFmt formatCode="General" sourceLinked="1"/>
        <c:majorTickMark val="none"/>
        <c:minorTickMark val="none"/>
        <c:tickLblPos val="nextTo"/>
        <c:crossAx val="16553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L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[CVE_Metadata..xlsx]Data!PivotTable6</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r>
              <a:rPr lang="en-GB"/>
              <a:t>Version of Odoo instances deployed in Africa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endParaRPr lang="en-L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L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Data!$I$3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L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Data!$H$4:$H$192</c:f>
              <c:strCache>
                <c:ptCount val="188"/>
                <c:pt idx="0">
                  <c:v>1 GRID (PTY) LTD</c:v>
                </c:pt>
                <c:pt idx="1">
                  <c:v>1-grid</c:v>
                </c:pt>
                <c:pt idx="2">
                  <c:v>2G and 3G public DHCP services</c:v>
                </c:pt>
                <c:pt idx="3">
                  <c:v>2G/3G/4G Mobile Costumers</c:v>
                </c:pt>
                <c:pt idx="4">
                  <c:v>41.111.0.0/20 LAGHOUAT RESIDENTIEL</c:v>
                </c:pt>
                <c:pt idx="5">
                  <c:v>AA_CITY_GOV_MASSMEDIA</c:v>
                </c:pt>
                <c:pt idx="6">
                  <c:v>ADEX Technology</c:v>
                </c:pt>
                <c:pt idx="7">
                  <c:v>Adex Technology Cloud Ressources</c:v>
                </c:pt>
                <c:pt idx="8">
                  <c:v>ADSL Network for CAMTEL NKONGSAMBA infrastructure</c:v>
                </c:pt>
                <c:pt idx="9">
                  <c:v>ADSL_Maroc_telecom</c:v>
                </c:pt>
                <c:pt idx="10">
                  <c:v>Afribone Backbone + WLL</c:v>
                </c:pt>
                <c:pt idx="11">
                  <c:v>Afrihost Dedicated</c:v>
                </c:pt>
                <c:pt idx="12">
                  <c:v>Agence Nationale de Promotion des TIC (ANPTIC)</c:v>
                </c:pt>
                <c:pt idx="13">
                  <c:v>AirLink Broadband Limited</c:v>
                </c:pt>
                <c:pt idx="14">
                  <c:v>Airtel Networks Limited</c:v>
                </c:pt>
                <c:pt idx="15">
                  <c:v>Airtouch Connections Limited</c:v>
                </c:pt>
                <c:pt idx="16">
                  <c:v>ALEMYE_AGRICALCHERAL_INVESTMEMT</c:v>
                </c:pt>
                <c:pt idx="17">
                  <c:v>Aljuman Aljadeed Limited Liability company</c:v>
                </c:pt>
                <c:pt idx="18">
                  <c:v>Amadeus Zimbawe group members network</c:v>
                </c:pt>
                <c:pt idx="19">
                  <c:v>Amazon Data Services South Africa</c:v>
                </c:pt>
                <c:pt idx="20">
                  <c:v>Angani Limited</c:v>
                </c:pt>
                <c:pt idx="21">
                  <c:v>Assigner-services-Backbone</c:v>
                </c:pt>
                <c:pt idx="22">
                  <c:v>Assigner-services-Backbone-B2B-B2C</c:v>
                </c:pt>
                <c:pt idx="23">
                  <c:v>ATI - Agence Tunisienne Internet</c:v>
                </c:pt>
                <c:pt idx="24">
                  <c:v>Axiom Networks Ltd</c:v>
                </c:pt>
                <c:pt idx="25">
                  <c:v>AYRADE NETWORK</c:v>
                </c:pt>
                <c:pt idx="26">
                  <c:v>Broadband</c:v>
                </c:pt>
                <c:pt idx="27">
                  <c:v>CAMTEL</c:v>
                </c:pt>
                <c:pt idx="28">
                  <c:v>Center</c:v>
                </c:pt>
                <c:pt idx="29">
                  <c:v>Chinguitel S.A</c:v>
                </c:pt>
                <c:pt idx="30">
                  <c:v>CipherWave</c:v>
                </c:pt>
                <c:pt idx="31">
                  <c:v>CK23-AFRINIC</c:v>
                </c:pt>
                <c:pt idx="32">
                  <c:v>Clients Airfiber business</c:v>
                </c:pt>
                <c:pt idx="33">
                  <c:v>clients grand public sur le réseau 16e</c:v>
                </c:pt>
                <c:pt idx="34">
                  <c:v>CloudAfrica Hosting (PTY) LTD</c:v>
                </c:pt>
                <c:pt idx="35">
                  <c:v>CLOUDMU</c:v>
                </c:pt>
                <c:pt idx="36">
                  <c:v>Contact: network@dyxis.com</c:v>
                </c:pt>
                <c:pt idx="37">
                  <c:v>Costumers</c:v>
                </c:pt>
                <c:pt idx="38">
                  <c:v>DATACONNECT COTE D'IVOIRE</c:v>
                </c:pt>
                <c:pt idx="39">
                  <c:v>DataKeepers (Pty) Ltd</c:v>
                </c:pt>
                <c:pt idx="40">
                  <c:v>DATANET.COM LLC</c:v>
                </c:pt>
                <c:pt idx="41">
                  <c:v>Derf</c:v>
                </c:pt>
                <c:pt idx="42">
                  <c:v>DFA Zimbabwe</c:v>
                </c:pt>
                <c:pt idx="43">
                  <c:v>DIAMATRIX C.C</c:v>
                </c:pt>
                <c:pt idx="44">
                  <c:v>DiaMatrix Cloud Services</c:v>
                </c:pt>
                <c:pt idx="45">
                  <c:v>Dimension Data</c:v>
                </c:pt>
                <c:pt idx="46">
                  <c:v>EG-saker-NET BANHA EGYPT</c:v>
                </c:pt>
                <c:pt idx="47">
                  <c:v>EGIT Data Center Used By EGID</c:v>
                </c:pt>
                <c:pt idx="48">
                  <c:v>Electronic Government Agency (EGA)</c:v>
                </c:pt>
                <c:pt idx="49">
                  <c:v>ET_DIA_Direct_Internet</c:v>
                </c:pt>
                <c:pt idx="50">
                  <c:v>ET_Mobile_Service</c:v>
                </c:pt>
                <c:pt idx="51">
                  <c:v>Ethio Telecom</c:v>
                </c:pt>
                <c:pt idx="52">
                  <c:v>Etisalat-Misr 3G subscribers</c:v>
                </c:pt>
                <c:pt idx="53">
                  <c:v>Faiba</c:v>
                </c:pt>
                <c:pt idx="54">
                  <c:v>FIBERONE BROADBAND</c:v>
                </c:pt>
                <c:pt idx="55">
                  <c:v>Ghana Telecommunications Company Limited</c:v>
                </c:pt>
                <c:pt idx="56">
                  <c:v>Giga for Telecommunication and Technology Limited</c:v>
                </c:pt>
                <c:pt idx="57">
                  <c:v>Global Broadband Solution</c:v>
                </c:pt>
                <c:pt idx="58">
                  <c:v>Google LLC</c:v>
                </c:pt>
                <c:pt idx="59">
                  <c:v>Gulfsat Madagascar</c:v>
                </c:pt>
                <c:pt idx="60">
                  <c:v>GVA TOGO</c:v>
                </c:pt>
                <c:pt idx="61">
                  <c:v>HA VPS</c:v>
                </c:pt>
                <c:pt idx="62">
                  <c:v>HA-VPS-NET</c:v>
                </c:pt>
                <c:pt idx="63">
                  <c:v>HAMILTON TELECOM LIMITED</c:v>
                </c:pt>
                <c:pt idx="64">
                  <c:v>Hormuud Telecom Somalia INC</c:v>
                </c:pt>
                <c:pt idx="65">
                  <c:v>Hormuud-Telecom-Somalia-inc</c:v>
                </c:pt>
                <c:pt idx="66">
                  <c:v>Host Africa (Pty) Ltd</c:v>
                </c:pt>
                <c:pt idx="67">
                  <c:v>Hosted Services</c:v>
                </c:pt>
                <c:pt idx="68">
                  <c:v>HOSTING</c:v>
                </c:pt>
                <c:pt idx="69">
                  <c:v>Huawei Cloud SouthAfrica Region</c:v>
                </c:pt>
                <c:pt idx="70">
                  <c:v>Huawei South Africa Clouds</c:v>
                </c:pt>
                <c:pt idx="71">
                  <c:v>Huawei-Cloud-EG</c:v>
                </c:pt>
                <c:pt idx="72">
                  <c:v>Huawei-Cloud-ZA</c:v>
                </c:pt>
                <c:pt idx="73">
                  <c:v>Icosnet SPA</c:v>
                </c:pt>
                <c:pt idx="74">
                  <c:v>IKATEL SONATEL ISP</c:v>
                </c:pt>
                <c:pt idx="75">
                  <c:v>In2IT  (PTY) Ltd.</c:v>
                </c:pt>
                <c:pt idx="76">
                  <c:v>Internet Egypt is an ISP in Cairo, Egypt</c:v>
                </c:pt>
                <c:pt idx="77">
                  <c:v>Internet Service Provider</c:v>
                </c:pt>
                <c:pt idx="78">
                  <c:v>ISOCEL SA</c:v>
                </c:pt>
                <c:pt idx="79">
                  <c:v>ISP</c:v>
                </c:pt>
                <c:pt idx="80">
                  <c:v>ISSALNET SARL</c:v>
                </c:pt>
                <c:pt idx="81">
                  <c:v>Jamii Telecommunications Limited</c:v>
                </c:pt>
                <c:pt idx="82">
                  <c:v>JTL-KARIBU</c:v>
                </c:pt>
                <c:pt idx="83">
                  <c:v>JUBA NETWORK CO. LTD</c:v>
                </c:pt>
                <c:pt idx="84">
                  <c:v>Kalisimbi</c:v>
                </c:pt>
                <c:pt idx="85">
                  <c:v>KAMPALA SITI CABLE LIMITED</c:v>
                </c:pt>
                <c:pt idx="86">
                  <c:v>Kaopu Cloud HK Limited</c:v>
                </c:pt>
                <c:pt idx="87">
                  <c:v>Leased Line Network</c:v>
                </c:pt>
                <c:pt idx="88">
                  <c:v>Libya Telecom &amp; Technology Data Center Pool</c:v>
                </c:pt>
                <c:pt idx="89">
                  <c:v>Libyan Spider Datacenter</c:v>
                </c:pt>
                <c:pt idx="90">
                  <c:v>Link  Development</c:v>
                </c:pt>
                <c:pt idx="91">
                  <c:v>Link Egypt</c:v>
                </c:pt>
                <c:pt idx="92">
                  <c:v>Link Egypt (Link.NET)</c:v>
                </c:pt>
                <c:pt idx="93">
                  <c:v>Liquid Telecommunications Operations Limited</c:v>
                </c:pt>
                <c:pt idx="94">
                  <c:v>Local ISP</c:v>
                </c:pt>
                <c:pt idx="95">
                  <c:v>Mainone Cable Company</c:v>
                </c:pt>
                <c:pt idx="96">
                  <c:v>MainOne Cable Company (Ghana) Ltd</c:v>
                </c:pt>
                <c:pt idx="97">
                  <c:v>Mauritanian Telecommunication Company</c:v>
                </c:pt>
                <c:pt idx="98">
                  <c:v>MauritiusTelecom</c:v>
                </c:pt>
                <c:pt idx="99">
                  <c:v>MAX NET FOR INTERNET SERVICES</c:v>
                </c:pt>
                <c:pt idx="100">
                  <c:v>MEDITELECOM</c:v>
                </c:pt>
                <c:pt idx="101">
                  <c:v>Microsoft</c:v>
                </c:pt>
                <c:pt idx="102">
                  <c:v>Microsoft (S.A.) (Proprietary) Limited</c:v>
                </c:pt>
                <c:pt idx="103">
                  <c:v>Microsoft Corporation</c:v>
                </c:pt>
                <c:pt idx="104">
                  <c:v>Ministry of Education and Research (MESupReS)</c:v>
                </c:pt>
                <c:pt idx="105">
                  <c:v>MOUNA Group Technology Sa.</c:v>
                </c:pt>
                <c:pt idx="106">
                  <c:v>MouNa Servers located a GUILAB</c:v>
                </c:pt>
                <c:pt idx="107">
                  <c:v>MTN Network Solutions (Cameroon)</c:v>
                </c:pt>
                <c:pt idx="108">
                  <c:v>MTN Uganda</c:v>
                </c:pt>
                <c:pt idx="109">
                  <c:v>Nigeria ICT Forum of Partnership Institutions</c:v>
                </c:pt>
                <c:pt idx="110">
                  <c:v>Nile Online</c:v>
                </c:pt>
                <c:pt idx="111">
                  <c:v>NITA-U</c:v>
                </c:pt>
                <c:pt idx="112">
                  <c:v>NOBUS WA AZ1 INET PUB1</c:v>
                </c:pt>
                <c:pt idx="113">
                  <c:v>Octenium</c:v>
                </c:pt>
                <c:pt idx="114">
                  <c:v>Office National des Postes et Telecommunications ONPT (Maroc Telecom) / IAM</c:v>
                </c:pt>
                <c:pt idx="115">
                  <c:v>Oracle Corporation</c:v>
                </c:pt>
                <c:pt idx="116">
                  <c:v>Oracle Svenska AB</c:v>
                </c:pt>
                <c:pt idx="117">
                  <c:v>ORANGE COTE D'IVOIRE</c:v>
                </c:pt>
                <c:pt idx="118">
                  <c:v>ORANGE GUINEE</c:v>
                </c:pt>
                <c:pt idx="119">
                  <c:v>Orange Mali SA</c:v>
                </c:pt>
                <c:pt idx="120">
                  <c:v>Organisation: OZON-Aljadeed</c:v>
                </c:pt>
                <c:pt idx="121">
                  <c:v>OVHcloud - Maroc</c:v>
                </c:pt>
                <c:pt idx="122">
                  <c:v>OXAHOST</c:v>
                </c:pt>
                <c:pt idx="123">
                  <c:v>Paratus Telecommunications Limited</c:v>
                </c:pt>
                <c:pt idx="124">
                  <c:v>Pres Connect</c:v>
                </c:pt>
                <c:pt idx="125">
                  <c:v>PRO</c:v>
                </c:pt>
                <c:pt idx="126">
                  <c:v>PS CASA Marrakech Maroc Telecom</c:v>
                </c:pt>
                <c:pt idx="127">
                  <c:v>RDC</c:v>
                </c:pt>
                <c:pt idx="128">
                  <c:v>Reserved for MB (WiFi) New Era Project in The Activation Phase</c:v>
                </c:pt>
                <c:pt idx="129">
                  <c:v>Residentiel Tlemcen 41.100.0.0/17</c:v>
                </c:pt>
                <c:pt idx="130">
                  <c:v>RT-ADSL-project</c:v>
                </c:pt>
                <c:pt idx="131">
                  <c:v>Safaricom Limited</c:v>
                </c:pt>
                <c:pt idx="132">
                  <c:v>SAFARICOM TELECOMMUNICATIONS ETHIOPIA PLC</c:v>
                </c:pt>
                <c:pt idx="133">
                  <c:v>SAGA AFRICA HOLDINGS LIMITED</c:v>
                </c:pt>
                <c:pt idx="134">
                  <c:v>SahdsoftVPS</c:v>
                </c:pt>
                <c:pt idx="135">
                  <c:v>SEACOM Limited</c:v>
                </c:pt>
                <c:pt idx="136">
                  <c:v>Servers</c:v>
                </c:pt>
                <c:pt idx="137">
                  <c:v>Services in Cairo</c:v>
                </c:pt>
                <c:pt idx="138">
                  <c:v>Sharart Altaqanaya Co, for Telecom &amp; Technology</c:v>
                </c:pt>
                <c:pt idx="139">
                  <c:v>SIBETON</c:v>
                </c:pt>
                <c:pt idx="140">
                  <c:v>Simbanet (T) Limited</c:v>
                </c:pt>
                <c:pt idx="141">
                  <c:v>Smart Network Limited</c:v>
                </c:pt>
                <c:pt idx="142">
                  <c:v>SOCIETE BENINOISE D'INFRASTRUCTURES NUMERIQUES</c:v>
                </c:pt>
                <c:pt idx="143">
                  <c:v>Softnet Technologies Limited</c:v>
                </c:pt>
                <c:pt idx="144">
                  <c:v>Somali Optical Networks</c:v>
                </c:pt>
                <c:pt idx="145">
                  <c:v>Sombha Solutions Store Limited</c:v>
                </c:pt>
                <c:pt idx="146">
                  <c:v>Somlink Wireless Network</c:v>
                </c:pt>
                <c:pt idx="147">
                  <c:v>Somtel Somalia LTD</c:v>
                </c:pt>
                <c:pt idx="148">
                  <c:v>Sonatel</c:v>
                </c:pt>
                <c:pt idx="149">
                  <c:v>SONATEL Societe Nationale Des Telecommunications Du Senegal</c:v>
                </c:pt>
                <c:pt idx="150">
                  <c:v>SpaceX Services, Inc.</c:v>
                </c:pt>
                <c:pt idx="151">
                  <c:v>ST DIGITAL Datacenter Services CMR</c:v>
                </c:pt>
                <c:pt idx="152">
                  <c:v>SUD TELECOM SOLUTIONS</c:v>
                </c:pt>
                <c:pt idx="153">
                  <c:v>SWECOM KRIBI</c:v>
                </c:pt>
                <c:pt idx="154">
                  <c:v>TANZANIA TELECOMMUNICATIONS CO. LTD</c:v>
                </c:pt>
                <c:pt idx="155">
                  <c:v>Tatu-Telecom-Company-SEZ-Limited</c:v>
                </c:pt>
                <c:pt idx="156">
                  <c:v>TE Data</c:v>
                </c:pt>
                <c:pt idx="157">
                  <c:v>TE Data-New</c:v>
                </c:pt>
                <c:pt idx="158">
                  <c:v>Telecom Algeria</c:v>
                </c:pt>
                <c:pt idx="159">
                  <c:v>Telecom Malagasy</c:v>
                </c:pt>
                <c:pt idx="160">
                  <c:v>Telesom</c:v>
                </c:pt>
                <c:pt idx="161">
                  <c:v>Teraco JHB Cloud VM</c:v>
                </c:pt>
                <c:pt idx="162">
                  <c:v>The Constant Company, LLC</c:v>
                </c:pt>
                <c:pt idx="163">
                  <c:v>THE KONZA TECHNOPOLIS DEVELOPMENT AUTHORITY</c:v>
                </c:pt>
                <c:pt idx="164">
                  <c:v>This subnet is for end users public servers in case of Virtual private Cloud or Virtual dedicated servers</c:v>
                </c:pt>
                <c:pt idx="165">
                  <c:v>This subnet is used for Mobinil 3G internet users/customers</c:v>
                </c:pt>
                <c:pt idx="166">
                  <c:v>To ERs logically close to BL-BR</c:v>
                </c:pt>
                <c:pt idx="167">
                  <c:v>To__BRAS_DHCP_AD_10800E</c:v>
                </c:pt>
                <c:pt idx="168">
                  <c:v>uchumi</c:v>
                </c:pt>
                <c:pt idx="169">
                  <c:v>UNITEL SA</c:v>
                </c:pt>
                <c:pt idx="170">
                  <c:v>Université Hassan II - Casablanca</c:v>
                </c:pt>
                <c:pt idx="171">
                  <c:v>UNLIMITED SARL</c:v>
                </c:pt>
                <c:pt idx="172">
                  <c:v>VDC Telecom</c:v>
                </c:pt>
                <c:pt idx="173">
                  <c:v>VEONE</c:v>
                </c:pt>
                <c:pt idx="174">
                  <c:v>Vinet Internet Solutions</c:v>
                </c:pt>
                <c:pt idx="175">
                  <c:v>Visafone Communications Limited,</c:v>
                </c:pt>
                <c:pt idx="176">
                  <c:v>Vodacom Business (ENS)</c:v>
                </c:pt>
                <c:pt idx="177">
                  <c:v>Vodacom ENS</c:v>
                </c:pt>
                <c:pt idx="178">
                  <c:v>Vodafone Data</c:v>
                </c:pt>
                <c:pt idx="179">
                  <c:v>Vodafone-Data-Routes</c:v>
                </c:pt>
                <c:pt idx="180">
                  <c:v>VPS Hostafrica</c:v>
                </c:pt>
                <c:pt idx="181">
                  <c:v>Vultr Holdings, LLC</c:v>
                </c:pt>
                <c:pt idx="182">
                  <c:v>Wavex_Internet_Service_Provider_LTD</c:v>
                </c:pt>
                <c:pt idx="183">
                  <c:v>Webhosting - JNB01</c:v>
                </c:pt>
                <c:pt idx="184">
                  <c:v>WORLD BANK</c:v>
                </c:pt>
                <c:pt idx="185">
                  <c:v>xneelo-tscolo</c:v>
                </c:pt>
                <c:pt idx="186">
                  <c:v>Zambia Research and Education Network (ZAMREN)</c:v>
                </c:pt>
                <c:pt idx="187">
                  <c:v>ZAP-Angola</c:v>
                </c:pt>
              </c:strCache>
            </c:strRef>
          </c:cat>
          <c:val>
            <c:numRef>
              <c:f>Data!$I$4:$I$192</c:f>
              <c:numCache>
                <c:formatCode>General</c:formatCode>
                <c:ptCount val="188"/>
                <c:pt idx="0">
                  <c:v>3</c:v>
                </c:pt>
                <c:pt idx="1">
                  <c:v>6</c:v>
                </c:pt>
                <c:pt idx="2">
                  <c:v>1</c:v>
                </c:pt>
                <c:pt idx="3">
                  <c:v>3</c:v>
                </c:pt>
                <c:pt idx="4">
                  <c:v>4</c:v>
                </c:pt>
                <c:pt idx="5">
                  <c:v>1</c:v>
                </c:pt>
                <c:pt idx="6">
                  <c:v>1</c:v>
                </c:pt>
                <c:pt idx="7">
                  <c:v>10</c:v>
                </c:pt>
                <c:pt idx="8">
                  <c:v>1</c:v>
                </c:pt>
                <c:pt idx="9">
                  <c:v>38</c:v>
                </c:pt>
                <c:pt idx="10">
                  <c:v>1</c:v>
                </c:pt>
                <c:pt idx="11">
                  <c:v>1</c:v>
                </c:pt>
                <c:pt idx="12">
                  <c:v>1</c:v>
                </c:pt>
                <c:pt idx="13">
                  <c:v>1</c:v>
                </c:pt>
                <c:pt idx="14">
                  <c:v>1</c:v>
                </c:pt>
                <c:pt idx="15">
                  <c:v>1</c:v>
                </c:pt>
                <c:pt idx="16">
                  <c:v>2</c:v>
                </c:pt>
                <c:pt idx="17">
                  <c:v>1</c:v>
                </c:pt>
                <c:pt idx="18">
                  <c:v>1</c:v>
                </c:pt>
                <c:pt idx="19">
                  <c:v>6</c:v>
                </c:pt>
                <c:pt idx="20">
                  <c:v>3</c:v>
                </c:pt>
                <c:pt idx="21">
                  <c:v>1</c:v>
                </c:pt>
                <c:pt idx="22">
                  <c:v>1</c:v>
                </c:pt>
                <c:pt idx="23">
                  <c:v>24</c:v>
                </c:pt>
                <c:pt idx="24">
                  <c:v>1</c:v>
                </c:pt>
                <c:pt idx="25">
                  <c:v>2</c:v>
                </c:pt>
                <c:pt idx="26">
                  <c:v>1</c:v>
                </c:pt>
                <c:pt idx="27">
                  <c:v>1</c:v>
                </c:pt>
                <c:pt idx="28">
                  <c:v>3</c:v>
                </c:pt>
                <c:pt idx="29">
                  <c:v>1</c:v>
                </c:pt>
                <c:pt idx="30">
                  <c:v>1</c:v>
                </c:pt>
                <c:pt idx="31">
                  <c:v>1</c:v>
                </c:pt>
                <c:pt idx="32">
                  <c:v>1</c:v>
                </c:pt>
                <c:pt idx="33">
                  <c:v>2</c:v>
                </c:pt>
                <c:pt idx="34">
                  <c:v>2</c:v>
                </c:pt>
                <c:pt idx="35">
                  <c:v>5</c:v>
                </c:pt>
                <c:pt idx="36">
                  <c:v>2</c:v>
                </c:pt>
                <c:pt idx="37">
                  <c:v>1</c:v>
                </c:pt>
                <c:pt idx="38">
                  <c:v>1</c:v>
                </c:pt>
                <c:pt idx="39">
                  <c:v>1</c:v>
                </c:pt>
                <c:pt idx="40">
                  <c:v>1</c:v>
                </c:pt>
                <c:pt idx="41">
                  <c:v>1</c:v>
                </c:pt>
                <c:pt idx="42">
                  <c:v>1</c:v>
                </c:pt>
                <c:pt idx="43">
                  <c:v>2</c:v>
                </c:pt>
                <c:pt idx="44">
                  <c:v>1</c:v>
                </c:pt>
                <c:pt idx="45">
                  <c:v>1</c:v>
                </c:pt>
                <c:pt idx="46">
                  <c:v>2</c:v>
                </c:pt>
                <c:pt idx="47">
                  <c:v>1</c:v>
                </c:pt>
                <c:pt idx="48">
                  <c:v>1</c:v>
                </c:pt>
                <c:pt idx="49">
                  <c:v>1</c:v>
                </c:pt>
                <c:pt idx="50">
                  <c:v>1</c:v>
                </c:pt>
                <c:pt idx="51">
                  <c:v>28</c:v>
                </c:pt>
                <c:pt idx="52">
                  <c:v>1</c:v>
                </c:pt>
                <c:pt idx="53">
                  <c:v>1</c:v>
                </c:pt>
                <c:pt idx="54">
                  <c:v>3</c:v>
                </c:pt>
                <c:pt idx="55">
                  <c:v>4</c:v>
                </c:pt>
                <c:pt idx="56">
                  <c:v>1</c:v>
                </c:pt>
                <c:pt idx="57">
                  <c:v>1</c:v>
                </c:pt>
                <c:pt idx="58">
                  <c:v>3</c:v>
                </c:pt>
                <c:pt idx="59">
                  <c:v>1</c:v>
                </c:pt>
                <c:pt idx="60">
                  <c:v>1</c:v>
                </c:pt>
                <c:pt idx="61">
                  <c:v>1</c:v>
                </c:pt>
                <c:pt idx="62">
                  <c:v>7</c:v>
                </c:pt>
                <c:pt idx="63">
                  <c:v>1</c:v>
                </c:pt>
                <c:pt idx="64">
                  <c:v>1</c:v>
                </c:pt>
                <c:pt idx="65">
                  <c:v>2</c:v>
                </c:pt>
                <c:pt idx="66">
                  <c:v>3</c:v>
                </c:pt>
                <c:pt idx="67">
                  <c:v>2</c:v>
                </c:pt>
                <c:pt idx="68">
                  <c:v>3</c:v>
                </c:pt>
                <c:pt idx="69">
                  <c:v>3</c:v>
                </c:pt>
                <c:pt idx="70">
                  <c:v>5</c:v>
                </c:pt>
                <c:pt idx="71">
                  <c:v>2</c:v>
                </c:pt>
                <c:pt idx="72">
                  <c:v>6</c:v>
                </c:pt>
                <c:pt idx="73">
                  <c:v>2</c:v>
                </c:pt>
                <c:pt idx="74">
                  <c:v>1</c:v>
                </c:pt>
                <c:pt idx="75">
                  <c:v>1</c:v>
                </c:pt>
                <c:pt idx="76">
                  <c:v>1</c:v>
                </c:pt>
                <c:pt idx="77">
                  <c:v>2</c:v>
                </c:pt>
                <c:pt idx="78">
                  <c:v>4</c:v>
                </c:pt>
                <c:pt idx="79">
                  <c:v>1</c:v>
                </c:pt>
                <c:pt idx="80">
                  <c:v>1</c:v>
                </c:pt>
                <c:pt idx="81">
                  <c:v>2</c:v>
                </c:pt>
                <c:pt idx="82">
                  <c:v>1</c:v>
                </c:pt>
                <c:pt idx="83">
                  <c:v>3</c:v>
                </c:pt>
                <c:pt idx="84">
                  <c:v>2</c:v>
                </c:pt>
                <c:pt idx="85">
                  <c:v>1</c:v>
                </c:pt>
                <c:pt idx="86">
                  <c:v>1</c:v>
                </c:pt>
                <c:pt idx="87">
                  <c:v>1</c:v>
                </c:pt>
                <c:pt idx="88">
                  <c:v>1</c:v>
                </c:pt>
                <c:pt idx="89">
                  <c:v>3</c:v>
                </c:pt>
                <c:pt idx="90">
                  <c:v>3</c:v>
                </c:pt>
                <c:pt idx="91">
                  <c:v>4</c:v>
                </c:pt>
                <c:pt idx="92">
                  <c:v>18</c:v>
                </c:pt>
                <c:pt idx="93">
                  <c:v>3</c:v>
                </c:pt>
                <c:pt idx="94">
                  <c:v>1</c:v>
                </c:pt>
                <c:pt idx="95">
                  <c:v>2</c:v>
                </c:pt>
                <c:pt idx="96">
                  <c:v>1</c:v>
                </c:pt>
                <c:pt idx="97">
                  <c:v>2</c:v>
                </c:pt>
                <c:pt idx="98">
                  <c:v>7</c:v>
                </c:pt>
                <c:pt idx="99">
                  <c:v>2</c:v>
                </c:pt>
                <c:pt idx="100">
                  <c:v>3</c:v>
                </c:pt>
                <c:pt idx="101">
                  <c:v>3</c:v>
                </c:pt>
                <c:pt idx="102">
                  <c:v>7</c:v>
                </c:pt>
                <c:pt idx="103">
                  <c:v>10</c:v>
                </c:pt>
                <c:pt idx="104">
                  <c:v>1</c:v>
                </c:pt>
                <c:pt idx="105">
                  <c:v>1</c:v>
                </c:pt>
                <c:pt idx="106">
                  <c:v>1</c:v>
                </c:pt>
                <c:pt idx="107">
                  <c:v>1</c:v>
                </c:pt>
                <c:pt idx="108">
                  <c:v>1</c:v>
                </c:pt>
                <c:pt idx="109">
                  <c:v>1</c:v>
                </c:pt>
                <c:pt idx="110">
                  <c:v>13</c:v>
                </c:pt>
                <c:pt idx="111">
                  <c:v>1</c:v>
                </c:pt>
                <c:pt idx="112">
                  <c:v>2</c:v>
                </c:pt>
                <c:pt idx="113">
                  <c:v>4</c:v>
                </c:pt>
                <c:pt idx="114">
                  <c:v>4</c:v>
                </c:pt>
                <c:pt idx="115">
                  <c:v>6</c:v>
                </c:pt>
                <c:pt idx="116">
                  <c:v>2</c:v>
                </c:pt>
                <c:pt idx="117">
                  <c:v>6</c:v>
                </c:pt>
                <c:pt idx="118">
                  <c:v>1</c:v>
                </c:pt>
                <c:pt idx="119">
                  <c:v>1</c:v>
                </c:pt>
                <c:pt idx="120">
                  <c:v>1</c:v>
                </c:pt>
                <c:pt idx="121">
                  <c:v>1</c:v>
                </c:pt>
                <c:pt idx="122">
                  <c:v>16</c:v>
                </c:pt>
                <c:pt idx="123">
                  <c:v>2</c:v>
                </c:pt>
                <c:pt idx="124">
                  <c:v>1</c:v>
                </c:pt>
                <c:pt idx="125">
                  <c:v>2</c:v>
                </c:pt>
                <c:pt idx="126">
                  <c:v>1</c:v>
                </c:pt>
                <c:pt idx="127">
                  <c:v>3</c:v>
                </c:pt>
                <c:pt idx="128">
                  <c:v>1</c:v>
                </c:pt>
                <c:pt idx="129">
                  <c:v>1</c:v>
                </c:pt>
                <c:pt idx="130">
                  <c:v>10</c:v>
                </c:pt>
                <c:pt idx="131">
                  <c:v>3</c:v>
                </c:pt>
                <c:pt idx="132">
                  <c:v>1</c:v>
                </c:pt>
                <c:pt idx="133">
                  <c:v>2</c:v>
                </c:pt>
                <c:pt idx="134">
                  <c:v>1</c:v>
                </c:pt>
                <c:pt idx="135">
                  <c:v>1</c:v>
                </c:pt>
                <c:pt idx="136">
                  <c:v>2</c:v>
                </c:pt>
                <c:pt idx="137">
                  <c:v>1</c:v>
                </c:pt>
                <c:pt idx="138">
                  <c:v>1</c:v>
                </c:pt>
                <c:pt idx="139">
                  <c:v>1</c:v>
                </c:pt>
                <c:pt idx="140">
                  <c:v>3</c:v>
                </c:pt>
                <c:pt idx="141">
                  <c:v>1</c:v>
                </c:pt>
                <c:pt idx="142">
                  <c:v>2</c:v>
                </c:pt>
                <c:pt idx="143">
                  <c:v>1</c:v>
                </c:pt>
                <c:pt idx="144">
                  <c:v>1</c:v>
                </c:pt>
                <c:pt idx="145">
                  <c:v>1</c:v>
                </c:pt>
                <c:pt idx="146">
                  <c:v>1</c:v>
                </c:pt>
                <c:pt idx="147">
                  <c:v>3</c:v>
                </c:pt>
                <c:pt idx="148">
                  <c:v>1</c:v>
                </c:pt>
                <c:pt idx="149">
                  <c:v>2</c:v>
                </c:pt>
                <c:pt idx="150">
                  <c:v>3</c:v>
                </c:pt>
                <c:pt idx="151">
                  <c:v>1</c:v>
                </c:pt>
                <c:pt idx="152">
                  <c:v>2</c:v>
                </c:pt>
                <c:pt idx="153">
                  <c:v>1</c:v>
                </c:pt>
                <c:pt idx="154">
                  <c:v>1</c:v>
                </c:pt>
                <c:pt idx="155">
                  <c:v>2</c:v>
                </c:pt>
                <c:pt idx="156">
                  <c:v>87</c:v>
                </c:pt>
                <c:pt idx="157">
                  <c:v>11</c:v>
                </c:pt>
                <c:pt idx="158">
                  <c:v>11</c:v>
                </c:pt>
                <c:pt idx="159">
                  <c:v>13</c:v>
                </c:pt>
                <c:pt idx="160">
                  <c:v>1</c:v>
                </c:pt>
                <c:pt idx="161">
                  <c:v>2</c:v>
                </c:pt>
                <c:pt idx="162">
                  <c:v>1</c:v>
                </c:pt>
                <c:pt idx="163">
                  <c:v>1</c:v>
                </c:pt>
                <c:pt idx="164">
                  <c:v>4</c:v>
                </c:pt>
                <c:pt idx="165">
                  <c:v>3</c:v>
                </c:pt>
                <c:pt idx="166">
                  <c:v>1</c:v>
                </c:pt>
                <c:pt idx="167">
                  <c:v>1</c:v>
                </c:pt>
                <c:pt idx="168">
                  <c:v>1</c:v>
                </c:pt>
                <c:pt idx="169">
                  <c:v>1</c:v>
                </c:pt>
                <c:pt idx="170">
                  <c:v>2</c:v>
                </c:pt>
                <c:pt idx="171">
                  <c:v>1</c:v>
                </c:pt>
                <c:pt idx="172">
                  <c:v>1</c:v>
                </c:pt>
                <c:pt idx="173">
                  <c:v>4</c:v>
                </c:pt>
                <c:pt idx="174">
                  <c:v>1</c:v>
                </c:pt>
                <c:pt idx="175">
                  <c:v>1</c:v>
                </c:pt>
                <c:pt idx="176">
                  <c:v>1</c:v>
                </c:pt>
                <c:pt idx="177">
                  <c:v>1</c:v>
                </c:pt>
                <c:pt idx="178">
                  <c:v>8</c:v>
                </c:pt>
                <c:pt idx="179">
                  <c:v>2</c:v>
                </c:pt>
                <c:pt idx="180">
                  <c:v>9</c:v>
                </c:pt>
                <c:pt idx="181">
                  <c:v>6</c:v>
                </c:pt>
                <c:pt idx="182">
                  <c:v>1</c:v>
                </c:pt>
                <c:pt idx="183">
                  <c:v>1</c:v>
                </c:pt>
                <c:pt idx="184">
                  <c:v>1</c:v>
                </c:pt>
                <c:pt idx="185">
                  <c:v>11</c:v>
                </c:pt>
                <c:pt idx="186">
                  <c:v>1</c:v>
                </c:pt>
                <c:pt idx="187">
                  <c:v>2</c:v>
                </c:pt>
              </c:numCache>
            </c:numRef>
          </c:val>
          <c:extLst>
            <c:ext xmlns:c16="http://schemas.microsoft.com/office/drawing/2014/chart" uri="{C3380CC4-5D6E-409C-BE32-E72D297353CC}">
              <c16:uniqueId val="{00000000-6D55-0C49-BB61-1599C5C132D5}"/>
            </c:ext>
          </c:extLst>
        </c:ser>
        <c:dLbls>
          <c:dLblPos val="outEnd"/>
          <c:showLegendKey val="0"/>
          <c:showVal val="1"/>
          <c:showCatName val="0"/>
          <c:showSerName val="0"/>
          <c:showPercent val="0"/>
          <c:showBubbleSize val="0"/>
        </c:dLbls>
        <c:gapWidth val="444"/>
        <c:overlap val="-90"/>
        <c:axId val="732340704"/>
        <c:axId val="1654704128"/>
      </c:barChart>
      <c:catAx>
        <c:axId val="73234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LU"/>
          </a:p>
        </c:txPr>
        <c:crossAx val="1654704128"/>
        <c:crosses val="autoZero"/>
        <c:auto val="1"/>
        <c:lblAlgn val="ctr"/>
        <c:lblOffset val="100"/>
        <c:noMultiLvlLbl val="0"/>
      </c:catAx>
      <c:valAx>
        <c:axId val="1654704128"/>
        <c:scaling>
          <c:orientation val="minMax"/>
        </c:scaling>
        <c:delete val="1"/>
        <c:axPos val="l"/>
        <c:numFmt formatCode="General" sourceLinked="1"/>
        <c:majorTickMark val="none"/>
        <c:minorTickMark val="none"/>
        <c:tickLblPos val="nextTo"/>
        <c:crossAx val="73234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L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12701</xdr:colOff>
      <xdr:row>3</xdr:row>
      <xdr:rowOff>12702</xdr:rowOff>
    </xdr:from>
    <xdr:to>
      <xdr:col>8</xdr:col>
      <xdr:colOff>165100</xdr:colOff>
      <xdr:row>25</xdr:row>
      <xdr:rowOff>25400</xdr:rowOff>
    </xdr:to>
    <xdr:graphicFrame macro="">
      <xdr:nvGraphicFramePr>
        <xdr:cNvPr id="4" name="Chart 3">
          <a:extLst>
            <a:ext uri="{FF2B5EF4-FFF2-40B4-BE49-F238E27FC236}">
              <a16:creationId xmlns:a16="http://schemas.microsoft.com/office/drawing/2014/main" id="{BE845E6A-67EE-D04E-925D-134EC67D4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368301</xdr:colOff>
      <xdr:row>3</xdr:row>
      <xdr:rowOff>12703</xdr:rowOff>
    </xdr:from>
    <xdr:to>
      <xdr:col>8</xdr:col>
      <xdr:colOff>165100</xdr:colOff>
      <xdr:row>6</xdr:row>
      <xdr:rowOff>25400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2D2B03A8-F519-8A4E-937B-7E59F1CFE5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93801" y="600078"/>
              <a:ext cx="5575299" cy="5841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12700</xdr:rowOff>
    </xdr:from>
    <xdr:to>
      <xdr:col>17</xdr:col>
      <xdr:colOff>304800</xdr:colOff>
      <xdr:row>24</xdr:row>
      <xdr:rowOff>157480</xdr:rowOff>
    </xdr:to>
    <xdr:graphicFrame macro="">
      <xdr:nvGraphicFramePr>
        <xdr:cNvPr id="7" name="Chart 6">
          <a:extLst>
            <a:ext uri="{FF2B5EF4-FFF2-40B4-BE49-F238E27FC236}">
              <a16:creationId xmlns:a16="http://schemas.microsoft.com/office/drawing/2014/main" id="{11E6E31D-674D-CB49-A7E7-13A36B0A5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25</xdr:col>
      <xdr:colOff>47625</xdr:colOff>
      <xdr:row>43</xdr:row>
      <xdr:rowOff>68580</xdr:rowOff>
    </xdr:to>
    <xdr:graphicFrame macro="">
      <xdr:nvGraphicFramePr>
        <xdr:cNvPr id="8" name="Chart 7">
          <a:extLst>
            <a:ext uri="{FF2B5EF4-FFF2-40B4-BE49-F238E27FC236}">
              <a16:creationId xmlns:a16="http://schemas.microsoft.com/office/drawing/2014/main" id="{B24625FC-F81C-FB40-91E9-A6429032C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stapha Awwalou DIOUF" refreshedDate="45890.62512326389" createdVersion="8" refreshedVersion="8" minRefreshableVersion="3" recordCount="642" xr:uid="{1BFB0E3C-BBA7-3446-A3B1-DEEFF1464F12}">
  <cacheSource type="worksheet">
    <worksheetSource name="Table2"/>
  </cacheSource>
  <cacheFields count="6">
    <cacheField name="IP" numFmtId="0">
      <sharedItems/>
    </cacheField>
    <cacheField name="Port" numFmtId="0">
      <sharedItems containsSemiMixedTypes="0" containsString="0" containsNumber="1" containsInteger="1" minValue="80" maxValue="60021"/>
    </cacheField>
    <cacheField name="Country" numFmtId="0">
      <sharedItems count="32">
        <s v="Senegal"/>
        <s v="Angola"/>
        <s v="Algeria"/>
        <s v="South Sudan"/>
        <s v="Ghana"/>
        <s v="Cameroon"/>
        <s v="Libya"/>
        <s v="South Africa"/>
        <s v="Somalia"/>
        <s v="Nigeria"/>
        <s v="Ethiopia"/>
        <s v="Tanzania, United Republic of"/>
        <s v="Kenya"/>
        <s v="Egypt"/>
        <s v="Tunisia"/>
        <s v="Madagascar"/>
        <s v="Morocco"/>
        <s v="Guinea"/>
        <s v="Benin"/>
        <s v="Côte d'Ivoire"/>
        <s v="Mali"/>
        <s v="Mauritius"/>
        <s v="Sudan"/>
        <s v="Rwanda"/>
        <s v="Uganda"/>
        <s v="Mauritania"/>
        <s v="Djibouti"/>
        <s v="Congo, The Democratic Republic of the"/>
        <s v="Zambia"/>
        <s v="Mozambique"/>
        <s v="Zimbabwe"/>
        <s v="Togo"/>
      </sharedItems>
    </cacheField>
    <cacheField name="Organization" numFmtId="0">
      <sharedItems count="188">
        <s v="Derf"/>
        <s v="UNITEL SA"/>
        <s v="41.111.0.0/20 LAGHOUAT RESIDENTIEL"/>
        <s v="SpaceX Services, Inc."/>
        <s v="JUBA NETWORK CO. LTD"/>
        <s v="Ghana Telecommunications Company Limited"/>
        <s v="Internet Service Provider"/>
        <s v="Aljuman Aljadeed Limited Liability company"/>
        <s v="VPS Hostafrica"/>
        <s v="Huawei Cloud SouthAfrica Region"/>
        <s v="Vodacom ENS"/>
        <s v="1-grid"/>
        <s v="Telesom"/>
        <s v="Somlink Wireless Network"/>
        <s v="Somtel Somalia LTD"/>
        <s v="Somali Optical Networks"/>
        <s v="Mainone Cable Company"/>
        <s v="Ethio Telecom"/>
        <s v="To ERs logically close to BL-BR"/>
        <s v="Electronic Government Agency (EGA)"/>
        <s v="TANZANIA TELECOMMUNICATIONS CO. LTD"/>
        <s v="Faiba"/>
        <s v="TE Data"/>
        <s v="Link Egypt (Link.NET)"/>
        <s v="RT-ADSL-project"/>
        <s v="ATI - Agence Tunisienne Internet"/>
        <s v="Telecom Malagasy"/>
        <s v="Ministry of Education and Research (MESupReS)"/>
        <s v="MEDITELECOM"/>
        <s v="Université Hassan II - Casablanca"/>
        <s v="ORANGE GUINEE"/>
        <s v="MouNa Servers located a GUILAB"/>
        <s v="ISOCEL SA"/>
        <s v="Telecom Algeria"/>
        <s v="Adex Technology Cloud Ressources"/>
        <s v="ORANGE COTE D'IVOIRE"/>
        <s v="VEONE"/>
        <s v="MainOne Cable Company (Ghana) Ltd"/>
        <s v="Libya Telecom &amp; Technology Data Center Pool"/>
        <s v="Oracle Corporation"/>
        <s v="Webhosting - JNB01"/>
        <s v="xneelo-tscolo"/>
        <s v="Microsoft Corporation"/>
        <s v="Amazon Data Services South Africa"/>
        <s v="Assigner-services-Backbone-B2B-B2C"/>
        <s v="Hormuud Telecom Somalia INC"/>
        <s v="MauritiusTelecom"/>
        <s v="FIBERONE BROADBAND"/>
        <s v="Airtel Networks Limited"/>
        <s v="Etisalat-Misr 3G subscribers"/>
        <s v="Nile Online"/>
        <s v="This subnet is used for Mobinil 3G internet users/customers"/>
        <s v="Vodafone Data"/>
        <s v="OXAHOST"/>
        <s v="PRO"/>
        <s v="2G and 3G public DHCP services"/>
        <s v="MAX NET FOR INTERNET SERVICES"/>
        <s v="Office National des Postes et Telecommunications ONPT (Maroc Telecom) / IAM"/>
        <s v="SONATEL Societe Nationale Des Telecommunications Du Senegal"/>
        <s v="MOUNA Group Technology Sa."/>
        <s v="SUD TELECOM SOLUTIONS"/>
        <s v="Costumers"/>
        <s v="ZAP-Angola"/>
        <s v="ADEX Technology"/>
        <s v="This subnet is for end users public servers in case of Virtual private Cloud or Virtual dedicated servers"/>
        <s v="SIBETON"/>
        <s v="CAMTEL"/>
        <s v="Vinet Internet Solutions"/>
        <s v="CK23-AFRINIC"/>
        <s v="HA-VPS-NET"/>
        <s v="CloudAfrica Hosting (PTY) LTD"/>
        <s v="DIAMATRIX C.C"/>
        <s v="SahdsoftVPS"/>
        <s v="Hormuud-Telecom-Somalia-inc"/>
        <s v="Nigeria ICT Forum of Partnership Institutions"/>
        <s v="Simbanet (T) Limited"/>
        <s v="Softnet Technologies Limited"/>
        <s v="Safaricom Limited"/>
        <s v="Kalisimbi"/>
        <s v="RDC"/>
        <s v="Link Egypt"/>
        <s v="Link  Development"/>
        <s v="Center"/>
        <s v="EG-saker-NET BANHA EGYPT"/>
        <s v="TE Data-New"/>
        <s v="Vodafone-Data-Routes"/>
        <s v="Reserved for MB (WiFi) New Era Project in The Activation Phase"/>
        <s v="Contact: network@dyxis.com"/>
        <s v="KAMPALA SITI CABLE LIMITED"/>
        <s v="Sonatel"/>
        <s v="Chinguitel S.A"/>
        <s v="Leased Line Network"/>
        <s v="Global Broadband Solution"/>
        <s v="SOCIETE BENINOISE D'INFRASTRUCTURES NUMERIQUES"/>
        <s v="Paratus Telecommunications Limited"/>
        <s v="Residentiel Tlemcen 41.100.0.0/17"/>
        <s v="Octenium"/>
        <s v="ADSL Network for CAMTEL NKONGSAMBA infrastructure"/>
        <s v="Giga for Telecommunication and Technology Limited"/>
        <s v="Libyan Spider Datacenter"/>
        <s v="Organisation: OZON-Aljadeed"/>
        <s v="DataKeepers (Pty) Ltd"/>
        <s v="Microsoft (S.A.) (Proprietary) Limited"/>
        <s v="Vultr Holdings, LLC"/>
        <s v="CipherWave"/>
        <s v="Kaopu Cloud HK Limited"/>
        <s v="Host Africa (Pty) Ltd"/>
        <s v="Liquid Telecommunications Operations Limited"/>
        <s v="Teraco JHB Cloud VM"/>
        <s v="Microsoft"/>
        <s v="Assigner-services-Backbone"/>
        <s v="Afribone Backbone + WLL"/>
        <s v="NOBUS WA AZ1 INET PUB1"/>
        <s v="SAFARICOM TELECOMMUNICATIONS ETHIOPIA PLC"/>
        <s v="ET_DIA_Direct_Internet"/>
        <s v="ALEMYE_AGRICALCHERAL_INVESTMEMT"/>
        <s v="THE KONZA TECHNOPOLIS DEVELOPMENT AUTHORITY"/>
        <s v="JTL-KARIBU"/>
        <s v="Hosted Services"/>
        <s v="Airtouch Connections Limited"/>
        <s v="WORLD BANK"/>
        <s v="Clients Airfiber business"/>
        <s v="ADSL_Maroc_telecom"/>
        <s v="Servers"/>
        <s v="DFA Zimbabwe"/>
        <s v="Mauritanian Telecommunication Company"/>
        <s v="ISSALNET SARL"/>
        <s v="Icosnet SPA"/>
        <s v="AYRADE NETWORK"/>
        <s v="Smart Network Limited"/>
        <s v="MTN Network Solutions (Cameroon)"/>
        <s v="ST DIGITAL Datacenter Services CMR"/>
        <s v="SWECOM KRIBI"/>
        <s v="HOSTING"/>
        <s v="Huawei South Africa Clouds"/>
        <s v="Huawei-Cloud-ZA"/>
        <s v="The Constant Company, LLC"/>
        <s v="1 GRID (PTY) LTD"/>
        <s v="HA VPS"/>
        <s v="Broadband"/>
        <s v="DiaMatrix Cloud Services"/>
        <s v="Google LLC"/>
        <s v="Dimension Data"/>
        <s v="Afrihost Dedicated"/>
        <s v="SEACOM Limited"/>
        <s v="Orange Mali SA"/>
        <s v="GVA TOGO"/>
        <s v="CLOUDMU"/>
        <s v="Agence Nationale de Promotion des TIC (ANPTIC)"/>
        <s v="ET_Mobile_Service"/>
        <s v="AA_CITY_GOV_MASSMEDIA"/>
        <s v="Jamii Telecommunications Limited"/>
        <s v="Angani Limited"/>
        <s v="Wavex_Internet_Service_Provider_LTD"/>
        <s v="Axiom Networks Ltd"/>
        <s v="Services in Cairo"/>
        <s v="Huawei-Cloud-EG"/>
        <s v="Internet Egypt is an ISP in Cairo, Egypt"/>
        <s v="Zambia Research and Education Network (ZAMREN)"/>
        <s v="clients grand public sur le réseau 16e"/>
        <s v="Gulfsat Madagascar"/>
        <s v="HAMILTON TELECOM LIMITED"/>
        <s v="NITA-U"/>
        <s v="MTN Uganda"/>
        <s v="IKATEL SONATEL ISP"/>
        <s v="SAGA AFRICA HOLDINGS LIMITED"/>
        <s v="UNLIMITED SARL"/>
        <s v="ISP"/>
        <s v="DATACONNECT COTE D'IVOIRE"/>
        <s v="Sharart Altaqanaya Co, for Telecom &amp; Technology"/>
        <s v="Vodacom Business (ENS)"/>
        <s v="Oracle Svenska AB"/>
        <s v="In2IT  (PTY) Ltd."/>
        <s v="Pres Connect"/>
        <s v="Visafone Communications Limited,"/>
        <s v="To__BRAS_DHCP_AD_10800E"/>
        <s v="Tatu-Telecom-Company-SEZ-Limited"/>
        <s v="uchumi"/>
        <s v="Local ISP"/>
        <s v="EGIT Data Center Used By EGID"/>
        <s v="AirLink Broadband Limited"/>
        <s v="DATANET.COM LLC"/>
        <s v="PS CASA Marrakech Maroc Telecom"/>
        <s v="2G/3G/4G Mobile Costumers"/>
        <s v="OVHcloud - Maroc"/>
        <s v="Amadeus Zimbawe group members network"/>
        <s v="Sombha Solutions Store Limited"/>
        <s v="VDC Telecom"/>
      </sharedItems>
    </cacheField>
    <cacheField name="Title" numFmtId="0">
      <sharedItems count="3">
        <s v="Odoo"/>
        <s v=" Home | Odoo ERP "/>
        <s v="Home | EGID Odoo"/>
      </sharedItems>
    </cacheField>
    <cacheField name="Version" numFmtId="0">
      <sharedItems count="10">
        <s v="13.0"/>
        <s v="14.0"/>
        <s v="15.0"/>
        <s v="16.0"/>
        <s v="16.4"/>
        <s v="17.0"/>
        <s v="18.0"/>
        <s v="18.1"/>
        <s v="18.4"/>
        <s v="18.5"/>
      </sharedItems>
    </cacheField>
  </cacheFields>
  <extLst>
    <ext xmlns:x14="http://schemas.microsoft.com/office/spreadsheetml/2009/9/main" uri="{725AE2AE-9491-48be-B2B4-4EB974FC3084}">
      <x14:pivotCacheDefinition pivotCacheId="300568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2">
  <r>
    <s v="213.154.85.38"/>
    <n v="8069"/>
    <x v="0"/>
    <x v="0"/>
    <x v="0"/>
    <x v="0"/>
  </r>
  <r>
    <s v="105.174.16.230"/>
    <n v="8069"/>
    <x v="1"/>
    <x v="1"/>
    <x v="0"/>
    <x v="0"/>
  </r>
  <r>
    <s v="41.111.178.162"/>
    <n v="8069"/>
    <x v="2"/>
    <x v="2"/>
    <x v="0"/>
    <x v="0"/>
  </r>
  <r>
    <s v="129.222.116.15"/>
    <n v="8069"/>
    <x v="3"/>
    <x v="3"/>
    <x v="0"/>
    <x v="0"/>
  </r>
  <r>
    <s v="102.36.214.26"/>
    <n v="8069"/>
    <x v="3"/>
    <x v="4"/>
    <x v="0"/>
    <x v="0"/>
  </r>
  <r>
    <s v="102.36.214.22"/>
    <n v="8069"/>
    <x v="3"/>
    <x v="4"/>
    <x v="0"/>
    <x v="0"/>
  </r>
  <r>
    <s v="197.251.207.202"/>
    <n v="8069"/>
    <x v="4"/>
    <x v="5"/>
    <x v="0"/>
    <x v="0"/>
  </r>
  <r>
    <s v="41.66.218.46"/>
    <n v="8069"/>
    <x v="4"/>
    <x v="5"/>
    <x v="0"/>
    <x v="0"/>
  </r>
  <r>
    <s v="197.251.207.201"/>
    <n v="8069"/>
    <x v="4"/>
    <x v="5"/>
    <x v="0"/>
    <x v="0"/>
  </r>
  <r>
    <s v="197.251.207.200"/>
    <n v="8069"/>
    <x v="4"/>
    <x v="5"/>
    <x v="0"/>
    <x v="0"/>
  </r>
  <r>
    <s v="195.24.205.90"/>
    <n v="9017"/>
    <x v="5"/>
    <x v="6"/>
    <x v="0"/>
    <x v="0"/>
  </r>
  <r>
    <s v="102.209.3.82"/>
    <n v="8090"/>
    <x v="6"/>
    <x v="7"/>
    <x v="0"/>
    <x v="0"/>
  </r>
  <r>
    <s v="160.119.248.250"/>
    <n v="8069"/>
    <x v="7"/>
    <x v="8"/>
    <x v="0"/>
    <x v="0"/>
  </r>
  <r>
    <s v="110.238.75.219"/>
    <n v="8069"/>
    <x v="7"/>
    <x v="9"/>
    <x v="0"/>
    <x v="0"/>
  </r>
  <r>
    <s v="105.255.217.194"/>
    <n v="8055"/>
    <x v="7"/>
    <x v="10"/>
    <x v="0"/>
    <x v="0"/>
  </r>
  <r>
    <s v="41.185.30.177"/>
    <n v="8069"/>
    <x v="7"/>
    <x v="11"/>
    <x v="0"/>
    <x v="0"/>
  </r>
  <r>
    <s v="197.157.246.134"/>
    <n v="80"/>
    <x v="8"/>
    <x v="12"/>
    <x v="0"/>
    <x v="0"/>
  </r>
  <r>
    <s v="102.38.50.50"/>
    <n v="80"/>
    <x v="8"/>
    <x v="13"/>
    <x v="0"/>
    <x v="0"/>
  </r>
  <r>
    <s v="102.214.169.140"/>
    <n v="80"/>
    <x v="8"/>
    <x v="14"/>
    <x v="0"/>
    <x v="0"/>
  </r>
  <r>
    <s v="154.118.241.62"/>
    <n v="80"/>
    <x v="8"/>
    <x v="15"/>
    <x v="0"/>
    <x v="0"/>
  </r>
  <r>
    <s v="154.113.213.13"/>
    <n v="80"/>
    <x v="9"/>
    <x v="16"/>
    <x v="0"/>
    <x v="0"/>
  </r>
  <r>
    <s v="154.113.197.3"/>
    <n v="8069"/>
    <x v="9"/>
    <x v="16"/>
    <x v="0"/>
    <x v="0"/>
  </r>
  <r>
    <s v="196.189.239.58"/>
    <n v="8069"/>
    <x v="10"/>
    <x v="17"/>
    <x v="0"/>
    <x v="0"/>
  </r>
  <r>
    <s v="197.156.91.63"/>
    <n v="8069"/>
    <x v="10"/>
    <x v="18"/>
    <x v="0"/>
    <x v="0"/>
  </r>
  <r>
    <s v="196.192.79.116"/>
    <n v="80"/>
    <x v="11"/>
    <x v="19"/>
    <x v="0"/>
    <x v="0"/>
  </r>
  <r>
    <s v="41.59.227.77"/>
    <n v="8013"/>
    <x v="11"/>
    <x v="20"/>
    <x v="0"/>
    <x v="0"/>
  </r>
  <r>
    <s v="41.215.129.35"/>
    <n v="8069"/>
    <x v="12"/>
    <x v="21"/>
    <x v="0"/>
    <x v="0"/>
  </r>
  <r>
    <s v="81.10.12.141"/>
    <n v="80"/>
    <x v="13"/>
    <x v="22"/>
    <x v="0"/>
    <x v="0"/>
  </r>
  <r>
    <s v="197.44.219.219"/>
    <n v="8069"/>
    <x v="13"/>
    <x v="22"/>
    <x v="0"/>
    <x v="0"/>
  </r>
  <r>
    <s v="196.218.149.210"/>
    <n v="8069"/>
    <x v="13"/>
    <x v="22"/>
    <x v="0"/>
    <x v="0"/>
  </r>
  <r>
    <s v="197.162.66.30"/>
    <n v="8551"/>
    <x v="13"/>
    <x v="23"/>
    <x v="0"/>
    <x v="0"/>
  </r>
  <r>
    <s v="197.44.251.106"/>
    <n v="8069"/>
    <x v="13"/>
    <x v="22"/>
    <x v="0"/>
    <x v="0"/>
  </r>
  <r>
    <s v="197.44.251.106"/>
    <n v="8072"/>
    <x v="13"/>
    <x v="22"/>
    <x v="0"/>
    <x v="0"/>
  </r>
  <r>
    <s v="196.202.19.74"/>
    <n v="4010"/>
    <x v="13"/>
    <x v="22"/>
    <x v="0"/>
    <x v="0"/>
  </r>
  <r>
    <s v="81.10.12.141"/>
    <n v="8069"/>
    <x v="13"/>
    <x v="22"/>
    <x v="0"/>
    <x v="0"/>
  </r>
  <r>
    <s v="196.218.24.180"/>
    <n v="8080"/>
    <x v="13"/>
    <x v="22"/>
    <x v="0"/>
    <x v="0"/>
  </r>
  <r>
    <s v="196.221.70.214"/>
    <n v="8069"/>
    <x v="13"/>
    <x v="24"/>
    <x v="0"/>
    <x v="0"/>
  </r>
  <r>
    <s v="41.38.59.196"/>
    <n v="80"/>
    <x v="13"/>
    <x v="22"/>
    <x v="0"/>
    <x v="0"/>
  </r>
  <r>
    <s v="41.226.179.223"/>
    <n v="8099"/>
    <x v="14"/>
    <x v="25"/>
    <x v="0"/>
    <x v="0"/>
  </r>
  <r>
    <s v="196.203.16.68"/>
    <n v="80"/>
    <x v="14"/>
    <x v="25"/>
    <x v="0"/>
    <x v="0"/>
  </r>
  <r>
    <s v="197.13.35.130"/>
    <n v="8069"/>
    <x v="14"/>
    <x v="25"/>
    <x v="0"/>
    <x v="0"/>
  </r>
  <r>
    <s v="154.126.32.146"/>
    <n v="8069"/>
    <x v="15"/>
    <x v="26"/>
    <x v="0"/>
    <x v="0"/>
  </r>
  <r>
    <s v="41.188.46.126"/>
    <n v="9080"/>
    <x v="15"/>
    <x v="26"/>
    <x v="0"/>
    <x v="0"/>
  </r>
  <r>
    <s v="41.242.99.124"/>
    <n v="8069"/>
    <x v="15"/>
    <x v="27"/>
    <x v="0"/>
    <x v="0"/>
  </r>
  <r>
    <s v="102.16.82.226"/>
    <n v="80"/>
    <x v="15"/>
    <x v="26"/>
    <x v="0"/>
    <x v="0"/>
  </r>
  <r>
    <s v="41.214.250.168"/>
    <n v="8069"/>
    <x v="16"/>
    <x v="28"/>
    <x v="0"/>
    <x v="0"/>
  </r>
  <r>
    <s v="196.200.164.132"/>
    <n v="9999"/>
    <x v="16"/>
    <x v="29"/>
    <x v="0"/>
    <x v="0"/>
  </r>
  <r>
    <s v="196.200.164.132"/>
    <n v="9999"/>
    <x v="16"/>
    <x v="29"/>
    <x v="0"/>
    <x v="0"/>
  </r>
  <r>
    <s v="197.149.231.106"/>
    <n v="34500"/>
    <x v="17"/>
    <x v="30"/>
    <x v="0"/>
    <x v="1"/>
  </r>
  <r>
    <s v="41.223.49.9"/>
    <n v="80"/>
    <x v="17"/>
    <x v="31"/>
    <x v="0"/>
    <x v="1"/>
  </r>
  <r>
    <s v="154.66.133.1"/>
    <n v="8072"/>
    <x v="18"/>
    <x v="32"/>
    <x v="0"/>
    <x v="1"/>
  </r>
  <r>
    <s v="105.96.87.72"/>
    <n v="8069"/>
    <x v="2"/>
    <x v="33"/>
    <x v="0"/>
    <x v="1"/>
  </r>
  <r>
    <s v="102.220.31.6"/>
    <n v="8069"/>
    <x v="2"/>
    <x v="34"/>
    <x v="0"/>
    <x v="1"/>
  </r>
  <r>
    <s v="160.155.57.253"/>
    <n v="8070"/>
    <x v="19"/>
    <x v="35"/>
    <x v="0"/>
    <x v="1"/>
  </r>
  <r>
    <s v="160.120.105.108"/>
    <n v="8069"/>
    <x v="19"/>
    <x v="35"/>
    <x v="0"/>
    <x v="1"/>
  </r>
  <r>
    <s v="164.160.35.105"/>
    <n v="8070"/>
    <x v="19"/>
    <x v="36"/>
    <x v="0"/>
    <x v="1"/>
  </r>
  <r>
    <s v="164.160.35.105"/>
    <n v="8069"/>
    <x v="19"/>
    <x v="36"/>
    <x v="0"/>
    <x v="1"/>
  </r>
  <r>
    <s v="102.36.212.62"/>
    <n v="8069"/>
    <x v="3"/>
    <x v="4"/>
    <x v="0"/>
    <x v="1"/>
  </r>
  <r>
    <s v="45.222.203.123"/>
    <n v="80"/>
    <x v="4"/>
    <x v="37"/>
    <x v="0"/>
    <x v="1"/>
  </r>
  <r>
    <s v="195.24.215.70"/>
    <n v="8069"/>
    <x v="5"/>
    <x v="6"/>
    <x v="0"/>
    <x v="1"/>
  </r>
  <r>
    <s v="41.208.73.45"/>
    <n v="80"/>
    <x v="6"/>
    <x v="38"/>
    <x v="0"/>
    <x v="1"/>
  </r>
  <r>
    <s v="129.151.180.105"/>
    <n v="80"/>
    <x v="7"/>
    <x v="39"/>
    <x v="0"/>
    <x v="1"/>
  </r>
  <r>
    <s v="102.222.20.178"/>
    <n v="8069"/>
    <x v="7"/>
    <x v="40"/>
    <x v="0"/>
    <x v="1"/>
  </r>
  <r>
    <s v="129.151.191.232"/>
    <n v="80"/>
    <x v="7"/>
    <x v="39"/>
    <x v="0"/>
    <x v="1"/>
  </r>
  <r>
    <s v="156.38.206.226"/>
    <n v="8069"/>
    <x v="7"/>
    <x v="41"/>
    <x v="0"/>
    <x v="1"/>
  </r>
  <r>
    <s v="129.232.172.124"/>
    <n v="8064"/>
    <x v="7"/>
    <x v="41"/>
    <x v="0"/>
    <x v="1"/>
  </r>
  <r>
    <s v="41.72.149.3"/>
    <n v="60001"/>
    <x v="7"/>
    <x v="41"/>
    <x v="0"/>
    <x v="1"/>
  </r>
  <r>
    <s v="20.87.13.155"/>
    <n v="8069"/>
    <x v="7"/>
    <x v="42"/>
    <x v="0"/>
    <x v="1"/>
  </r>
  <r>
    <s v="13.245.199.80"/>
    <n v="8099"/>
    <x v="7"/>
    <x v="43"/>
    <x v="0"/>
    <x v="1"/>
  </r>
  <r>
    <s v="154.118.174.250"/>
    <n v="8069"/>
    <x v="20"/>
    <x v="44"/>
    <x v="0"/>
    <x v="1"/>
  </r>
  <r>
    <s v="192.145.173.141"/>
    <n v="80"/>
    <x v="8"/>
    <x v="45"/>
    <x v="0"/>
    <x v="1"/>
  </r>
  <r>
    <s v="197.227.165.156"/>
    <n v="8069"/>
    <x v="21"/>
    <x v="46"/>
    <x v="0"/>
    <x v="1"/>
  </r>
  <r>
    <s v="197.227.165.158"/>
    <n v="8069"/>
    <x v="21"/>
    <x v="46"/>
    <x v="0"/>
    <x v="1"/>
  </r>
  <r>
    <s v="102.67.11.38"/>
    <n v="8069"/>
    <x v="9"/>
    <x v="47"/>
    <x v="0"/>
    <x v="1"/>
  </r>
  <r>
    <s v="105.114.14.74"/>
    <n v="8069"/>
    <x v="9"/>
    <x v="48"/>
    <x v="0"/>
    <x v="1"/>
  </r>
  <r>
    <s v="196.189.23.153"/>
    <n v="8069"/>
    <x v="10"/>
    <x v="17"/>
    <x v="0"/>
    <x v="1"/>
  </r>
  <r>
    <s v="196.188.187.6"/>
    <n v="8080"/>
    <x v="10"/>
    <x v="17"/>
    <x v="0"/>
    <x v="1"/>
  </r>
  <r>
    <s v="196.189.126.112"/>
    <n v="5000"/>
    <x v="10"/>
    <x v="17"/>
    <x v="0"/>
    <x v="1"/>
  </r>
  <r>
    <s v="196.189.44.60"/>
    <n v="8069"/>
    <x v="10"/>
    <x v="17"/>
    <x v="0"/>
    <x v="1"/>
  </r>
  <r>
    <s v="41.153.30.99"/>
    <n v="8069"/>
    <x v="13"/>
    <x v="49"/>
    <x v="0"/>
    <x v="1"/>
  </r>
  <r>
    <s v="197.161.37.164"/>
    <n v="8069"/>
    <x v="13"/>
    <x v="23"/>
    <x v="0"/>
    <x v="1"/>
  </r>
  <r>
    <s v="41.33.135.196"/>
    <n v="8069"/>
    <x v="13"/>
    <x v="22"/>
    <x v="0"/>
    <x v="1"/>
  </r>
  <r>
    <s v="41.38.31.232"/>
    <n v="8069"/>
    <x v="13"/>
    <x v="22"/>
    <x v="0"/>
    <x v="1"/>
  </r>
  <r>
    <s v="62.140.93.214"/>
    <n v="8069"/>
    <x v="13"/>
    <x v="50"/>
    <x v="0"/>
    <x v="1"/>
  </r>
  <r>
    <s v="196.219.224.229"/>
    <n v="80"/>
    <x v="13"/>
    <x v="22"/>
    <x v="0"/>
    <x v="1"/>
  </r>
  <r>
    <s v="41.155.203.96"/>
    <n v="8069"/>
    <x v="13"/>
    <x v="51"/>
    <x v="0"/>
    <x v="1"/>
  </r>
  <r>
    <s v="196.221.68.9"/>
    <n v="80"/>
    <x v="13"/>
    <x v="24"/>
    <x v="0"/>
    <x v="1"/>
  </r>
  <r>
    <s v="41.38.113.248"/>
    <n v="8069"/>
    <x v="13"/>
    <x v="22"/>
    <x v="0"/>
    <x v="1"/>
  </r>
  <r>
    <s v="196.219.54.130"/>
    <n v="8585"/>
    <x v="13"/>
    <x v="22"/>
    <x v="0"/>
    <x v="1"/>
  </r>
  <r>
    <s v="62.140.93.212"/>
    <n v="8069"/>
    <x v="13"/>
    <x v="50"/>
    <x v="0"/>
    <x v="1"/>
  </r>
  <r>
    <s v="197.44.31.148"/>
    <n v="8069"/>
    <x v="13"/>
    <x v="22"/>
    <x v="0"/>
    <x v="1"/>
  </r>
  <r>
    <s v="45.240.88.218"/>
    <n v="8069"/>
    <x v="13"/>
    <x v="23"/>
    <x v="0"/>
    <x v="1"/>
  </r>
  <r>
    <s v="197.134.251.152"/>
    <n v="8069"/>
    <x v="13"/>
    <x v="52"/>
    <x v="0"/>
    <x v="1"/>
  </r>
  <r>
    <s v="41.33.89.138"/>
    <n v="80"/>
    <x v="13"/>
    <x v="22"/>
    <x v="0"/>
    <x v="1"/>
  </r>
  <r>
    <s v="81.10.11.223"/>
    <n v="8069"/>
    <x v="13"/>
    <x v="22"/>
    <x v="0"/>
    <x v="1"/>
  </r>
  <r>
    <s v="41.230.59.245"/>
    <n v="8069"/>
    <x v="14"/>
    <x v="25"/>
    <x v="0"/>
    <x v="1"/>
  </r>
  <r>
    <s v="102.211.209.238"/>
    <n v="8013"/>
    <x v="14"/>
    <x v="53"/>
    <x v="0"/>
    <x v="1"/>
  </r>
  <r>
    <s v="102.16.7.154"/>
    <n v="80"/>
    <x v="15"/>
    <x v="26"/>
    <x v="0"/>
    <x v="1"/>
  </r>
  <r>
    <s v="41.188.44.38"/>
    <n v="80"/>
    <x v="15"/>
    <x v="54"/>
    <x v="0"/>
    <x v="1"/>
  </r>
  <r>
    <s v="102.16.7.154"/>
    <n v="8069"/>
    <x v="15"/>
    <x v="26"/>
    <x v="0"/>
    <x v="1"/>
  </r>
  <r>
    <s v="154.120.176.236"/>
    <n v="8069"/>
    <x v="15"/>
    <x v="55"/>
    <x v="0"/>
    <x v="1"/>
  </r>
  <r>
    <s v="41.78.111.82"/>
    <n v="8060"/>
    <x v="22"/>
    <x v="56"/>
    <x v="0"/>
    <x v="1"/>
  </r>
  <r>
    <s v="41.78.111.82"/>
    <n v="8069"/>
    <x v="22"/>
    <x v="56"/>
    <x v="0"/>
    <x v="1"/>
  </r>
  <r>
    <s v="102.50.244.70"/>
    <n v="8069"/>
    <x v="16"/>
    <x v="57"/>
    <x v="0"/>
    <x v="1"/>
  </r>
  <r>
    <s v="41.83.1.72"/>
    <n v="8069"/>
    <x v="0"/>
    <x v="58"/>
    <x v="0"/>
    <x v="2"/>
  </r>
  <r>
    <s v="41.223.50.12"/>
    <n v="2200"/>
    <x v="17"/>
    <x v="59"/>
    <x v="0"/>
    <x v="2"/>
  </r>
  <r>
    <s v="45.221.239.2"/>
    <n v="8069"/>
    <x v="18"/>
    <x v="60"/>
    <x v="0"/>
    <x v="2"/>
  </r>
  <r>
    <s v="154.71.129.13"/>
    <n v="1000"/>
    <x v="1"/>
    <x v="61"/>
    <x v="0"/>
    <x v="2"/>
  </r>
  <r>
    <s v="154.66.106.253"/>
    <n v="8014"/>
    <x v="1"/>
    <x v="62"/>
    <x v="0"/>
    <x v="2"/>
  </r>
  <r>
    <s v="154.66.106.253"/>
    <n v="8030"/>
    <x v="1"/>
    <x v="62"/>
    <x v="0"/>
    <x v="2"/>
  </r>
  <r>
    <s v="41.111.226.150"/>
    <n v="8098"/>
    <x v="2"/>
    <x v="2"/>
    <x v="0"/>
    <x v="2"/>
  </r>
  <r>
    <s v="105.96.27.138"/>
    <n v="8069"/>
    <x v="2"/>
    <x v="33"/>
    <x v="0"/>
    <x v="2"/>
  </r>
  <r>
    <s v="105.96.53.240"/>
    <n v="8069"/>
    <x v="2"/>
    <x v="33"/>
    <x v="0"/>
    <x v="2"/>
  </r>
  <r>
    <s v="102.220.29.245"/>
    <n v="8072"/>
    <x v="2"/>
    <x v="63"/>
    <x v="0"/>
    <x v="2"/>
  </r>
  <r>
    <s v="164.160.35.126"/>
    <n v="8069"/>
    <x v="19"/>
    <x v="36"/>
    <x v="0"/>
    <x v="2"/>
  </r>
  <r>
    <s v="160.155.204.23"/>
    <n v="8090"/>
    <x v="19"/>
    <x v="35"/>
    <x v="0"/>
    <x v="2"/>
  </r>
  <r>
    <s v="164.160.35.178"/>
    <n v="8069"/>
    <x v="19"/>
    <x v="36"/>
    <x v="0"/>
    <x v="2"/>
  </r>
  <r>
    <s v="164.160.33.11"/>
    <n v="8069"/>
    <x v="19"/>
    <x v="64"/>
    <x v="0"/>
    <x v="2"/>
  </r>
  <r>
    <s v="102.216.205.22"/>
    <n v="8069"/>
    <x v="19"/>
    <x v="65"/>
    <x v="0"/>
    <x v="2"/>
  </r>
  <r>
    <s v="164.160.33.23"/>
    <n v="8069"/>
    <x v="19"/>
    <x v="64"/>
    <x v="0"/>
    <x v="2"/>
  </r>
  <r>
    <s v="164.160.33.11"/>
    <n v="8075"/>
    <x v="19"/>
    <x v="64"/>
    <x v="0"/>
    <x v="2"/>
  </r>
  <r>
    <s v="154.72.184.86"/>
    <n v="80"/>
    <x v="5"/>
    <x v="66"/>
    <x v="0"/>
    <x v="2"/>
  </r>
  <r>
    <s v="160.226.139.129"/>
    <n v="8069"/>
    <x v="7"/>
    <x v="67"/>
    <x v="0"/>
    <x v="2"/>
  </r>
  <r>
    <s v="156.38.137.74"/>
    <n v="8079"/>
    <x v="7"/>
    <x v="41"/>
    <x v="0"/>
    <x v="2"/>
  </r>
  <r>
    <s v="102.130.114.88"/>
    <n v="8069"/>
    <x v="7"/>
    <x v="68"/>
    <x v="0"/>
    <x v="2"/>
  </r>
  <r>
    <s v="102.130.118.244"/>
    <n v="8069"/>
    <x v="7"/>
    <x v="69"/>
    <x v="0"/>
    <x v="2"/>
  </r>
  <r>
    <s v="41.185.48.46"/>
    <n v="8815"/>
    <x v="7"/>
    <x v="11"/>
    <x v="0"/>
    <x v="2"/>
  </r>
  <r>
    <s v="102.220.85.228"/>
    <n v="8069"/>
    <x v="7"/>
    <x v="70"/>
    <x v="0"/>
    <x v="2"/>
  </r>
  <r>
    <s v="41.76.111.13"/>
    <n v="8069"/>
    <x v="7"/>
    <x v="71"/>
    <x v="0"/>
    <x v="2"/>
  </r>
  <r>
    <s v="41.185.48.42"/>
    <n v="8815"/>
    <x v="7"/>
    <x v="11"/>
    <x v="0"/>
    <x v="2"/>
  </r>
  <r>
    <s v="102.219.85.33"/>
    <n v="8015"/>
    <x v="7"/>
    <x v="72"/>
    <x v="0"/>
    <x v="2"/>
  </r>
  <r>
    <s v="41.78.75.66"/>
    <n v="8069"/>
    <x v="8"/>
    <x v="73"/>
    <x v="0"/>
    <x v="2"/>
  </r>
  <r>
    <s v="41.78.75.66"/>
    <n v="80"/>
    <x v="8"/>
    <x v="73"/>
    <x v="0"/>
    <x v="2"/>
  </r>
  <r>
    <s v="197.227.4.53"/>
    <n v="8069"/>
    <x v="21"/>
    <x v="46"/>
    <x v="0"/>
    <x v="2"/>
  </r>
  <r>
    <s v="197.227.4.54"/>
    <n v="8069"/>
    <x v="21"/>
    <x v="46"/>
    <x v="0"/>
    <x v="2"/>
  </r>
  <r>
    <s v="41.76.251.223"/>
    <n v="8069"/>
    <x v="9"/>
    <x v="74"/>
    <x v="0"/>
    <x v="2"/>
  </r>
  <r>
    <s v="135.129.125.245"/>
    <n v="8069"/>
    <x v="9"/>
    <x v="3"/>
    <x v="0"/>
    <x v="2"/>
  </r>
  <r>
    <s v="196.189.126.97"/>
    <n v="8069"/>
    <x v="10"/>
    <x v="17"/>
    <x v="0"/>
    <x v="2"/>
  </r>
  <r>
    <s v="196.189.126.22"/>
    <n v="8069"/>
    <x v="10"/>
    <x v="17"/>
    <x v="0"/>
    <x v="2"/>
  </r>
  <r>
    <s v="41.188.151.157"/>
    <n v="8069"/>
    <x v="11"/>
    <x v="75"/>
    <x v="0"/>
    <x v="2"/>
  </r>
  <r>
    <s v="196.41.86.37"/>
    <n v="8020"/>
    <x v="11"/>
    <x v="76"/>
    <x v="0"/>
    <x v="2"/>
  </r>
  <r>
    <s v="41.90.111.70"/>
    <n v="8069"/>
    <x v="12"/>
    <x v="77"/>
    <x v="0"/>
    <x v="2"/>
  </r>
  <r>
    <s v="197.243.22.30"/>
    <n v="8069"/>
    <x v="23"/>
    <x v="78"/>
    <x v="0"/>
    <x v="2"/>
  </r>
  <r>
    <s v="41.33.73.155"/>
    <n v="80"/>
    <x v="13"/>
    <x v="22"/>
    <x v="0"/>
    <x v="2"/>
  </r>
  <r>
    <s v="102.217.68.180"/>
    <n v="8069"/>
    <x v="13"/>
    <x v="79"/>
    <x v="0"/>
    <x v="2"/>
  </r>
  <r>
    <s v="197.162.64.53"/>
    <n v="8015"/>
    <x v="13"/>
    <x v="23"/>
    <x v="0"/>
    <x v="2"/>
  </r>
  <r>
    <s v="156.214.109.76"/>
    <n v="8001"/>
    <x v="13"/>
    <x v="22"/>
    <x v="0"/>
    <x v="2"/>
  </r>
  <r>
    <s v="41.65.108.55"/>
    <n v="8069"/>
    <x v="13"/>
    <x v="50"/>
    <x v="0"/>
    <x v="2"/>
  </r>
  <r>
    <s v="196.204.201.66"/>
    <n v="8069"/>
    <x v="13"/>
    <x v="52"/>
    <x v="0"/>
    <x v="2"/>
  </r>
  <r>
    <s v="196.202.4.50"/>
    <n v="8069"/>
    <x v="13"/>
    <x v="22"/>
    <x v="0"/>
    <x v="2"/>
  </r>
  <r>
    <s v="41.196.44.174"/>
    <n v="8069"/>
    <x v="13"/>
    <x v="80"/>
    <x v="0"/>
    <x v="2"/>
  </r>
  <r>
    <s v="196.204.201.69"/>
    <n v="8069"/>
    <x v="13"/>
    <x v="52"/>
    <x v="0"/>
    <x v="2"/>
  </r>
  <r>
    <s v="41.33.34.51"/>
    <n v="8069"/>
    <x v="13"/>
    <x v="22"/>
    <x v="0"/>
    <x v="2"/>
  </r>
  <r>
    <s v="45.245.213.200"/>
    <n v="8069"/>
    <x v="13"/>
    <x v="23"/>
    <x v="0"/>
    <x v="2"/>
  </r>
  <r>
    <s v="41.65.230.66"/>
    <n v="8010"/>
    <x v="13"/>
    <x v="50"/>
    <x v="0"/>
    <x v="2"/>
  </r>
  <r>
    <s v="196.13.244.231"/>
    <n v="8069"/>
    <x v="13"/>
    <x v="81"/>
    <x v="0"/>
    <x v="2"/>
  </r>
  <r>
    <s v="197.162.64.53"/>
    <n v="8069"/>
    <x v="13"/>
    <x v="23"/>
    <x v="0"/>
    <x v="2"/>
  </r>
  <r>
    <s v="197.44.231.163"/>
    <n v="8069"/>
    <x v="13"/>
    <x v="22"/>
    <x v="0"/>
    <x v="2"/>
  </r>
  <r>
    <s v="213.212.245.92"/>
    <n v="8011"/>
    <x v="13"/>
    <x v="82"/>
    <x v="0"/>
    <x v="2"/>
  </r>
  <r>
    <s v="196.219.182.251"/>
    <n v="8069"/>
    <x v="13"/>
    <x v="22"/>
    <x v="0"/>
    <x v="2"/>
  </r>
  <r>
    <s v="197.44.147.106"/>
    <n v="8069"/>
    <x v="13"/>
    <x v="22"/>
    <x v="0"/>
    <x v="2"/>
  </r>
  <r>
    <s v="196.218.87.52"/>
    <n v="8069"/>
    <x v="13"/>
    <x v="22"/>
    <x v="0"/>
    <x v="2"/>
  </r>
  <r>
    <s v="82.129.137.231"/>
    <n v="9000"/>
    <x v="13"/>
    <x v="83"/>
    <x v="0"/>
    <x v="2"/>
  </r>
  <r>
    <s v="196.218.141.50"/>
    <n v="8069"/>
    <x v="13"/>
    <x v="22"/>
    <x v="0"/>
    <x v="2"/>
  </r>
  <r>
    <s v="196.219.103.221"/>
    <n v="8069"/>
    <x v="13"/>
    <x v="22"/>
    <x v="0"/>
    <x v="2"/>
  </r>
  <r>
    <s v="196.218.36.42"/>
    <n v="8069"/>
    <x v="13"/>
    <x v="22"/>
    <x v="0"/>
    <x v="2"/>
  </r>
  <r>
    <s v="196.221.217.43"/>
    <n v="8069"/>
    <x v="13"/>
    <x v="24"/>
    <x v="0"/>
    <x v="2"/>
  </r>
  <r>
    <s v="41.155.215.151"/>
    <n v="8069"/>
    <x v="13"/>
    <x v="51"/>
    <x v="0"/>
    <x v="2"/>
  </r>
  <r>
    <s v="197.44.231.163"/>
    <n v="8032"/>
    <x v="13"/>
    <x v="22"/>
    <x v="0"/>
    <x v="2"/>
  </r>
  <r>
    <s v="197.44.55.85"/>
    <n v="8069"/>
    <x v="13"/>
    <x v="22"/>
    <x v="0"/>
    <x v="2"/>
  </r>
  <r>
    <s v="84.36.38.131"/>
    <n v="8069"/>
    <x v="13"/>
    <x v="50"/>
    <x v="0"/>
    <x v="2"/>
  </r>
  <r>
    <s v="41.32.50.229"/>
    <n v="8090"/>
    <x v="13"/>
    <x v="84"/>
    <x v="0"/>
    <x v="2"/>
  </r>
  <r>
    <s v="41.129.138.163"/>
    <n v="8069"/>
    <x v="13"/>
    <x v="23"/>
    <x v="0"/>
    <x v="2"/>
  </r>
  <r>
    <s v="196.13.244.235"/>
    <n v="8069"/>
    <x v="13"/>
    <x v="81"/>
    <x v="0"/>
    <x v="2"/>
  </r>
  <r>
    <s v="196.202.71.37"/>
    <n v="8069"/>
    <x v="13"/>
    <x v="22"/>
    <x v="0"/>
    <x v="2"/>
  </r>
  <r>
    <s v="196.202.71.192"/>
    <n v="8069"/>
    <x v="13"/>
    <x v="22"/>
    <x v="0"/>
    <x v="2"/>
  </r>
  <r>
    <s v="156.200.126.228"/>
    <n v="8069"/>
    <x v="13"/>
    <x v="22"/>
    <x v="0"/>
    <x v="2"/>
  </r>
  <r>
    <s v="196.202.1.62"/>
    <n v="8069"/>
    <x v="13"/>
    <x v="22"/>
    <x v="0"/>
    <x v="2"/>
  </r>
  <r>
    <s v="196.218.36.42"/>
    <n v="8079"/>
    <x v="13"/>
    <x v="22"/>
    <x v="0"/>
    <x v="2"/>
  </r>
  <r>
    <s v="196.151.244.216"/>
    <n v="8069"/>
    <x v="13"/>
    <x v="85"/>
    <x v="0"/>
    <x v="2"/>
  </r>
  <r>
    <s v="196.221.146.161"/>
    <n v="8069"/>
    <x v="13"/>
    <x v="24"/>
    <x v="0"/>
    <x v="2"/>
  </r>
  <r>
    <s v="197.167.214.172"/>
    <n v="8069"/>
    <x v="13"/>
    <x v="86"/>
    <x v="0"/>
    <x v="2"/>
  </r>
  <r>
    <s v="196.135.205.49"/>
    <n v="8069"/>
    <x v="13"/>
    <x v="85"/>
    <x v="0"/>
    <x v="2"/>
  </r>
  <r>
    <s v="41.129.138.164"/>
    <n v="8069"/>
    <x v="13"/>
    <x v="23"/>
    <x v="0"/>
    <x v="2"/>
  </r>
  <r>
    <s v="196.203.183.218"/>
    <n v="8069"/>
    <x v="14"/>
    <x v="25"/>
    <x v="0"/>
    <x v="2"/>
  </r>
  <r>
    <s v="41.226.30.90"/>
    <n v="8069"/>
    <x v="14"/>
    <x v="25"/>
    <x v="0"/>
    <x v="2"/>
  </r>
  <r>
    <s v="197.13.35.211"/>
    <n v="8069"/>
    <x v="14"/>
    <x v="25"/>
    <x v="0"/>
    <x v="2"/>
  </r>
  <r>
    <s v="41.225.25.42"/>
    <n v="8069"/>
    <x v="14"/>
    <x v="25"/>
    <x v="0"/>
    <x v="2"/>
  </r>
  <r>
    <s v="102.219.178.250"/>
    <n v="8069"/>
    <x v="14"/>
    <x v="53"/>
    <x v="0"/>
    <x v="2"/>
  </r>
  <r>
    <s v="41.226.168.146"/>
    <n v="8069"/>
    <x v="14"/>
    <x v="25"/>
    <x v="0"/>
    <x v="2"/>
  </r>
  <r>
    <s v="41.231.121.64"/>
    <n v="80"/>
    <x v="14"/>
    <x v="87"/>
    <x v="0"/>
    <x v="2"/>
  </r>
  <r>
    <s v="196.203.183.218"/>
    <n v="8068"/>
    <x v="14"/>
    <x v="25"/>
    <x v="0"/>
    <x v="2"/>
  </r>
  <r>
    <s v="102.219.178.47"/>
    <n v="8069"/>
    <x v="14"/>
    <x v="53"/>
    <x v="0"/>
    <x v="2"/>
  </r>
  <r>
    <s v="41.226.30.90"/>
    <n v="8070"/>
    <x v="14"/>
    <x v="25"/>
    <x v="0"/>
    <x v="2"/>
  </r>
  <r>
    <s v="196.203.181.198"/>
    <n v="8069"/>
    <x v="14"/>
    <x v="25"/>
    <x v="0"/>
    <x v="2"/>
  </r>
  <r>
    <s v="102.222.233.187"/>
    <n v="8069"/>
    <x v="24"/>
    <x v="88"/>
    <x v="1"/>
    <x v="2"/>
  </r>
  <r>
    <s v="197.230.98.9"/>
    <n v="8069"/>
    <x v="16"/>
    <x v="28"/>
    <x v="0"/>
    <x v="2"/>
  </r>
  <r>
    <s v="41.82.213.67"/>
    <n v="666"/>
    <x v="0"/>
    <x v="89"/>
    <x v="0"/>
    <x v="3"/>
  </r>
  <r>
    <s v="41.138.131.108"/>
    <n v="8069"/>
    <x v="25"/>
    <x v="90"/>
    <x v="0"/>
    <x v="3"/>
  </r>
  <r>
    <s v="197.241.36.75"/>
    <n v="80"/>
    <x v="26"/>
    <x v="91"/>
    <x v="0"/>
    <x v="3"/>
  </r>
  <r>
    <s v="217.171.92.62"/>
    <n v="8069"/>
    <x v="27"/>
    <x v="92"/>
    <x v="0"/>
    <x v="3"/>
  </r>
  <r>
    <s v="41.85.191.42"/>
    <n v="8086"/>
    <x v="18"/>
    <x v="93"/>
    <x v="0"/>
    <x v="3"/>
  </r>
  <r>
    <s v="41.86.241.10"/>
    <n v="8010"/>
    <x v="18"/>
    <x v="32"/>
    <x v="0"/>
    <x v="3"/>
  </r>
  <r>
    <s v="41.85.191.36"/>
    <n v="8086"/>
    <x v="18"/>
    <x v="93"/>
    <x v="0"/>
    <x v="3"/>
  </r>
  <r>
    <s v="41.86.241.10"/>
    <n v="8069"/>
    <x v="18"/>
    <x v="32"/>
    <x v="0"/>
    <x v="3"/>
  </r>
  <r>
    <s v="41.86.241.10"/>
    <n v="8070"/>
    <x v="18"/>
    <x v="32"/>
    <x v="0"/>
    <x v="3"/>
  </r>
  <r>
    <s v="160.242.22.113"/>
    <n v="80"/>
    <x v="1"/>
    <x v="94"/>
    <x v="0"/>
    <x v="3"/>
  </r>
  <r>
    <s v="41.100.213.115"/>
    <n v="8080"/>
    <x v="2"/>
    <x v="95"/>
    <x v="0"/>
    <x v="3"/>
  </r>
  <r>
    <s v="197.140.142.31"/>
    <n v="8069"/>
    <x v="2"/>
    <x v="96"/>
    <x v="0"/>
    <x v="3"/>
  </r>
  <r>
    <s v="105.96.79.180"/>
    <n v="8069"/>
    <x v="2"/>
    <x v="33"/>
    <x v="0"/>
    <x v="3"/>
  </r>
  <r>
    <s v="160.155.57.253"/>
    <n v="8065"/>
    <x v="19"/>
    <x v="35"/>
    <x v="0"/>
    <x v="3"/>
  </r>
  <r>
    <s v="41.204.83.178"/>
    <n v="8069"/>
    <x v="5"/>
    <x v="97"/>
    <x v="0"/>
    <x v="3"/>
  </r>
  <r>
    <s v="102.38.7.203"/>
    <n v="8072"/>
    <x v="6"/>
    <x v="98"/>
    <x v="0"/>
    <x v="3"/>
  </r>
  <r>
    <s v="102.213.180.79"/>
    <n v="8069"/>
    <x v="6"/>
    <x v="99"/>
    <x v="0"/>
    <x v="3"/>
  </r>
  <r>
    <s v="165.16.114.198"/>
    <n v="81"/>
    <x v="6"/>
    <x v="100"/>
    <x v="0"/>
    <x v="3"/>
  </r>
  <r>
    <s v="102.213.181.221"/>
    <n v="8072"/>
    <x v="6"/>
    <x v="99"/>
    <x v="0"/>
    <x v="3"/>
  </r>
  <r>
    <s v="102.130.112.224"/>
    <n v="8069"/>
    <x v="7"/>
    <x v="8"/>
    <x v="0"/>
    <x v="3"/>
  </r>
  <r>
    <s v="160.119.254.87"/>
    <n v="8069"/>
    <x v="7"/>
    <x v="8"/>
    <x v="0"/>
    <x v="3"/>
  </r>
  <r>
    <s v="102.67.139.119"/>
    <n v="8069"/>
    <x v="7"/>
    <x v="101"/>
    <x v="0"/>
    <x v="3"/>
  </r>
  <r>
    <s v="102.37.156.9"/>
    <n v="80"/>
    <x v="7"/>
    <x v="102"/>
    <x v="0"/>
    <x v="3"/>
  </r>
  <r>
    <s v="4.168.228.126"/>
    <n v="8069"/>
    <x v="7"/>
    <x v="42"/>
    <x v="0"/>
    <x v="3"/>
  </r>
  <r>
    <s v="139.84.228.144"/>
    <n v="8069"/>
    <x v="7"/>
    <x v="103"/>
    <x v="0"/>
    <x v="3"/>
  </r>
  <r>
    <s v="20.164.200.10"/>
    <n v="80"/>
    <x v="7"/>
    <x v="42"/>
    <x v="0"/>
    <x v="3"/>
  </r>
  <r>
    <s v="41.87.203.39"/>
    <n v="8069"/>
    <x v="7"/>
    <x v="104"/>
    <x v="0"/>
    <x v="3"/>
  </r>
  <r>
    <s v="169.239.182.83"/>
    <n v="80"/>
    <x v="7"/>
    <x v="8"/>
    <x v="0"/>
    <x v="3"/>
  </r>
  <r>
    <s v="20.164.200.10"/>
    <n v="8069"/>
    <x v="7"/>
    <x v="42"/>
    <x v="0"/>
    <x v="3"/>
  </r>
  <r>
    <s v="102.37.156.9"/>
    <n v="8069"/>
    <x v="7"/>
    <x v="102"/>
    <x v="0"/>
    <x v="3"/>
  </r>
  <r>
    <s v="38.54.63.98"/>
    <n v="8069"/>
    <x v="7"/>
    <x v="105"/>
    <x v="0"/>
    <x v="3"/>
  </r>
  <r>
    <s v="102.37.149.44"/>
    <n v="80"/>
    <x v="7"/>
    <x v="102"/>
    <x v="0"/>
    <x v="3"/>
  </r>
  <r>
    <s v="139.84.228.83"/>
    <n v="8069"/>
    <x v="7"/>
    <x v="103"/>
    <x v="0"/>
    <x v="3"/>
  </r>
  <r>
    <s v="102.135.163.90"/>
    <n v="8069"/>
    <x v="7"/>
    <x v="106"/>
    <x v="0"/>
    <x v="3"/>
  </r>
  <r>
    <s v="102.209.117.134"/>
    <n v="8069"/>
    <x v="7"/>
    <x v="8"/>
    <x v="0"/>
    <x v="3"/>
  </r>
  <r>
    <s v="160.119.248.58"/>
    <n v="8069"/>
    <x v="7"/>
    <x v="8"/>
    <x v="0"/>
    <x v="3"/>
  </r>
  <r>
    <s v="41.161.58.35"/>
    <n v="8069"/>
    <x v="7"/>
    <x v="107"/>
    <x v="0"/>
    <x v="3"/>
  </r>
  <r>
    <s v="164.160.89.224"/>
    <n v="9052"/>
    <x v="7"/>
    <x v="108"/>
    <x v="0"/>
    <x v="3"/>
  </r>
  <r>
    <s v="102.133.149.128"/>
    <n v="80"/>
    <x v="7"/>
    <x v="109"/>
    <x v="0"/>
    <x v="3"/>
  </r>
  <r>
    <s v="164.160.89.224"/>
    <n v="8000"/>
    <x v="7"/>
    <x v="108"/>
    <x v="0"/>
    <x v="3"/>
  </r>
  <r>
    <s v="4.168.228.126"/>
    <n v="8079"/>
    <x v="7"/>
    <x v="42"/>
    <x v="0"/>
    <x v="3"/>
  </r>
  <r>
    <s v="102.130.125.193"/>
    <n v="8069"/>
    <x v="7"/>
    <x v="69"/>
    <x v="0"/>
    <x v="3"/>
  </r>
  <r>
    <s v="102.37.149.44"/>
    <n v="8069"/>
    <x v="7"/>
    <x v="102"/>
    <x v="0"/>
    <x v="3"/>
  </r>
  <r>
    <s v="110.238.77.19"/>
    <n v="80"/>
    <x v="7"/>
    <x v="9"/>
    <x v="0"/>
    <x v="3"/>
  </r>
  <r>
    <s v="102.130.119.84"/>
    <n v="8069"/>
    <x v="7"/>
    <x v="69"/>
    <x v="0"/>
    <x v="3"/>
  </r>
  <r>
    <s v="102.133.149.128"/>
    <n v="8069"/>
    <x v="7"/>
    <x v="109"/>
    <x v="0"/>
    <x v="3"/>
  </r>
  <r>
    <s v="156.38.237.235"/>
    <n v="8050"/>
    <x v="7"/>
    <x v="41"/>
    <x v="0"/>
    <x v="3"/>
  </r>
  <r>
    <s v="156.38.237.235"/>
    <n v="8098"/>
    <x v="7"/>
    <x v="41"/>
    <x v="0"/>
    <x v="3"/>
  </r>
  <r>
    <s v="197.189.253.68"/>
    <n v="8069"/>
    <x v="7"/>
    <x v="41"/>
    <x v="0"/>
    <x v="3"/>
  </r>
  <r>
    <s v="13.245.165.242"/>
    <n v="80"/>
    <x v="7"/>
    <x v="43"/>
    <x v="0"/>
    <x v="3"/>
  </r>
  <r>
    <s v="20.164.200.10"/>
    <n v="8072"/>
    <x v="7"/>
    <x v="42"/>
    <x v="0"/>
    <x v="3"/>
  </r>
  <r>
    <s v="110.238.77.19"/>
    <n v="8069"/>
    <x v="7"/>
    <x v="9"/>
    <x v="0"/>
    <x v="3"/>
  </r>
  <r>
    <s v="41.185.48.46"/>
    <n v="8816"/>
    <x v="7"/>
    <x v="11"/>
    <x v="0"/>
    <x v="3"/>
  </r>
  <r>
    <s v="102.130.121.22"/>
    <n v="8069"/>
    <x v="7"/>
    <x v="69"/>
    <x v="0"/>
    <x v="3"/>
  </r>
  <r>
    <s v="156.38.137.74"/>
    <n v="8099"/>
    <x v="7"/>
    <x v="41"/>
    <x v="0"/>
    <x v="3"/>
  </r>
  <r>
    <s v="13.245.239.208"/>
    <n v="80"/>
    <x v="7"/>
    <x v="43"/>
    <x v="0"/>
    <x v="3"/>
  </r>
  <r>
    <s v="154.118.133.234"/>
    <n v="8069"/>
    <x v="20"/>
    <x v="110"/>
    <x v="0"/>
    <x v="3"/>
  </r>
  <r>
    <s v="196.200.54.210"/>
    <n v="8069"/>
    <x v="20"/>
    <x v="111"/>
    <x v="0"/>
    <x v="3"/>
  </r>
  <r>
    <s v="102.214.168.176"/>
    <n v="8816"/>
    <x v="8"/>
    <x v="14"/>
    <x v="0"/>
    <x v="3"/>
  </r>
  <r>
    <s v="102.214.169.35"/>
    <n v="80"/>
    <x v="8"/>
    <x v="14"/>
    <x v="0"/>
    <x v="3"/>
  </r>
  <r>
    <s v="197.227.3.138"/>
    <n v="8069"/>
    <x v="21"/>
    <x v="46"/>
    <x v="0"/>
    <x v="3"/>
  </r>
  <r>
    <s v="102.212.208.11"/>
    <n v="8069"/>
    <x v="9"/>
    <x v="47"/>
    <x v="0"/>
    <x v="3"/>
  </r>
  <r>
    <s v="102.223.38.178"/>
    <n v="8069"/>
    <x v="9"/>
    <x v="112"/>
    <x v="0"/>
    <x v="3"/>
  </r>
  <r>
    <s v="102.212.208.11"/>
    <n v="80"/>
    <x v="9"/>
    <x v="47"/>
    <x v="0"/>
    <x v="3"/>
  </r>
  <r>
    <s v="102.208.98.82"/>
    <n v="8069"/>
    <x v="10"/>
    <x v="113"/>
    <x v="0"/>
    <x v="3"/>
  </r>
  <r>
    <s v="196.190.118.3"/>
    <n v="8069"/>
    <x v="10"/>
    <x v="17"/>
    <x v="0"/>
    <x v="3"/>
  </r>
  <r>
    <s v="196.189.188.237"/>
    <n v="8069"/>
    <x v="10"/>
    <x v="114"/>
    <x v="0"/>
    <x v="3"/>
  </r>
  <r>
    <s v="196.189.117.185"/>
    <n v="8079"/>
    <x v="10"/>
    <x v="115"/>
    <x v="0"/>
    <x v="3"/>
  </r>
  <r>
    <s v="196.189.155.220"/>
    <n v="8079"/>
    <x v="10"/>
    <x v="17"/>
    <x v="0"/>
    <x v="3"/>
  </r>
  <r>
    <s v="155.12.23.145"/>
    <n v="80"/>
    <x v="11"/>
    <x v="75"/>
    <x v="0"/>
    <x v="3"/>
  </r>
  <r>
    <s v="155.12.17.41"/>
    <n v="8069"/>
    <x v="11"/>
    <x v="75"/>
    <x v="0"/>
    <x v="3"/>
  </r>
  <r>
    <s v="102.220.22.181"/>
    <n v="8069"/>
    <x v="12"/>
    <x v="116"/>
    <x v="0"/>
    <x v="3"/>
  </r>
  <r>
    <s v="41.222.8.134"/>
    <n v="8069"/>
    <x v="12"/>
    <x v="117"/>
    <x v="0"/>
    <x v="3"/>
  </r>
  <r>
    <s v="197.248.47.71"/>
    <n v="8069"/>
    <x v="12"/>
    <x v="77"/>
    <x v="0"/>
    <x v="3"/>
  </r>
  <r>
    <s v="62.12.115.233"/>
    <n v="8069"/>
    <x v="12"/>
    <x v="118"/>
    <x v="0"/>
    <x v="3"/>
  </r>
  <r>
    <s v="102.218.33.31"/>
    <n v="8069"/>
    <x v="12"/>
    <x v="119"/>
    <x v="0"/>
    <x v="3"/>
  </r>
  <r>
    <s v="41.178.22.46"/>
    <n v="8069"/>
    <x v="13"/>
    <x v="80"/>
    <x v="0"/>
    <x v="3"/>
  </r>
  <r>
    <s v="41.33.231.52"/>
    <n v="18107"/>
    <x v="13"/>
    <x v="22"/>
    <x v="0"/>
    <x v="3"/>
  </r>
  <r>
    <s v="41.33.231.52"/>
    <n v="18111"/>
    <x v="13"/>
    <x v="22"/>
    <x v="0"/>
    <x v="3"/>
  </r>
  <r>
    <s v="41.33.231.52"/>
    <n v="18105"/>
    <x v="13"/>
    <x v="22"/>
    <x v="0"/>
    <x v="3"/>
  </r>
  <r>
    <s v="41.33.231.52"/>
    <n v="18113"/>
    <x v="13"/>
    <x v="22"/>
    <x v="0"/>
    <x v="3"/>
  </r>
  <r>
    <s v="156.208.6.200"/>
    <n v="8069"/>
    <x v="13"/>
    <x v="22"/>
    <x v="0"/>
    <x v="3"/>
  </r>
  <r>
    <s v="41.33.231.52"/>
    <n v="18108"/>
    <x v="13"/>
    <x v="22"/>
    <x v="0"/>
    <x v="3"/>
  </r>
  <r>
    <s v="197.44.150.206"/>
    <n v="8069"/>
    <x v="13"/>
    <x v="22"/>
    <x v="0"/>
    <x v="3"/>
  </r>
  <r>
    <s v="196.221.204.59"/>
    <n v="8069"/>
    <x v="13"/>
    <x v="24"/>
    <x v="0"/>
    <x v="3"/>
  </r>
  <r>
    <s v="213.212.245.73"/>
    <n v="8069"/>
    <x v="13"/>
    <x v="82"/>
    <x v="0"/>
    <x v="3"/>
  </r>
  <r>
    <s v="41.38.30.133"/>
    <n v="8069"/>
    <x v="13"/>
    <x v="22"/>
    <x v="0"/>
    <x v="3"/>
  </r>
  <r>
    <s v="41.196.213.4"/>
    <n v="8069"/>
    <x v="13"/>
    <x v="80"/>
    <x v="0"/>
    <x v="3"/>
  </r>
  <r>
    <s v="41.38.50.245"/>
    <n v="8069"/>
    <x v="13"/>
    <x v="22"/>
    <x v="0"/>
    <x v="3"/>
  </r>
  <r>
    <s v="81.10.108.24"/>
    <n v="8069"/>
    <x v="13"/>
    <x v="22"/>
    <x v="0"/>
    <x v="3"/>
  </r>
  <r>
    <s v="41.32.112.234"/>
    <n v="8069"/>
    <x v="13"/>
    <x v="84"/>
    <x v="0"/>
    <x v="3"/>
  </r>
  <r>
    <s v="41.65.226.132"/>
    <n v="8069"/>
    <x v="13"/>
    <x v="50"/>
    <x v="0"/>
    <x v="3"/>
  </r>
  <r>
    <s v="197.44.140.214"/>
    <n v="8069"/>
    <x v="13"/>
    <x v="22"/>
    <x v="0"/>
    <x v="3"/>
  </r>
  <r>
    <s v="196.221.144.139"/>
    <n v="8070"/>
    <x v="13"/>
    <x v="24"/>
    <x v="0"/>
    <x v="3"/>
  </r>
  <r>
    <s v="196.13.244.231"/>
    <n v="80"/>
    <x v="13"/>
    <x v="81"/>
    <x v="0"/>
    <x v="3"/>
  </r>
  <r>
    <s v="41.38.160.187"/>
    <n v="8069"/>
    <x v="13"/>
    <x v="22"/>
    <x v="0"/>
    <x v="3"/>
  </r>
  <r>
    <s v="41.33.231.52"/>
    <n v="18102"/>
    <x v="13"/>
    <x v="22"/>
    <x v="0"/>
    <x v="3"/>
  </r>
  <r>
    <s v="82.129.137.227"/>
    <n v="8069"/>
    <x v="13"/>
    <x v="83"/>
    <x v="0"/>
    <x v="3"/>
  </r>
  <r>
    <s v="213.212.245.73"/>
    <n v="8086"/>
    <x v="13"/>
    <x v="82"/>
    <x v="0"/>
    <x v="3"/>
  </r>
  <r>
    <s v="197.134.255.24"/>
    <n v="9990"/>
    <x v="13"/>
    <x v="52"/>
    <x v="0"/>
    <x v="3"/>
  </r>
  <r>
    <s v="41.128.143.135"/>
    <n v="8165"/>
    <x v="13"/>
    <x v="23"/>
    <x v="0"/>
    <x v="3"/>
  </r>
  <r>
    <s v="196.218.11.83"/>
    <n v="8069"/>
    <x v="13"/>
    <x v="22"/>
    <x v="0"/>
    <x v="3"/>
  </r>
  <r>
    <s v="41.32.32.187"/>
    <n v="8069"/>
    <x v="13"/>
    <x v="84"/>
    <x v="0"/>
    <x v="3"/>
  </r>
  <r>
    <s v="41.63.62.104"/>
    <n v="8069"/>
    <x v="28"/>
    <x v="120"/>
    <x v="0"/>
    <x v="3"/>
  </r>
  <r>
    <s v="41.231.121.60"/>
    <n v="80"/>
    <x v="14"/>
    <x v="87"/>
    <x v="0"/>
    <x v="3"/>
  </r>
  <r>
    <s v="196.203.219.37"/>
    <n v="8069"/>
    <x v="14"/>
    <x v="25"/>
    <x v="0"/>
    <x v="3"/>
  </r>
  <r>
    <s v="102.211.209.128"/>
    <n v="8069"/>
    <x v="14"/>
    <x v="53"/>
    <x v="0"/>
    <x v="3"/>
  </r>
  <r>
    <s v="102.211.210.110"/>
    <n v="8069"/>
    <x v="14"/>
    <x v="53"/>
    <x v="0"/>
    <x v="3"/>
  </r>
  <r>
    <s v="41.230.61.194"/>
    <n v="8069"/>
    <x v="14"/>
    <x v="25"/>
    <x v="0"/>
    <x v="3"/>
  </r>
  <r>
    <s v="102.211.210.110"/>
    <n v="8060"/>
    <x v="14"/>
    <x v="53"/>
    <x v="0"/>
    <x v="3"/>
  </r>
  <r>
    <s v="41.188.63.186"/>
    <n v="8069"/>
    <x v="15"/>
    <x v="54"/>
    <x v="0"/>
    <x v="3"/>
  </r>
  <r>
    <s v="197.158.87.124"/>
    <n v="8069"/>
    <x v="15"/>
    <x v="121"/>
    <x v="0"/>
    <x v="3"/>
  </r>
  <r>
    <s v="154.126.32.122"/>
    <n v="8067"/>
    <x v="15"/>
    <x v="26"/>
    <x v="0"/>
    <x v="3"/>
  </r>
  <r>
    <s v="160.242.32.195"/>
    <n v="8069"/>
    <x v="29"/>
    <x v="94"/>
    <x v="0"/>
    <x v="3"/>
  </r>
  <r>
    <s v="196.70.250.193"/>
    <n v="8090"/>
    <x v="16"/>
    <x v="122"/>
    <x v="0"/>
    <x v="3"/>
  </r>
  <r>
    <s v="154.119.80.43"/>
    <n v="8098"/>
    <x v="30"/>
    <x v="123"/>
    <x v="0"/>
    <x v="3"/>
  </r>
  <r>
    <s v="102.217.51.2"/>
    <n v="8069"/>
    <x v="30"/>
    <x v="124"/>
    <x v="0"/>
    <x v="3"/>
  </r>
  <r>
    <s v="197.14.4.98"/>
    <n v="8069"/>
    <x v="14"/>
    <x v="25"/>
    <x v="0"/>
    <x v="4"/>
  </r>
  <r>
    <s v="197.14.4.99"/>
    <n v="8069"/>
    <x v="14"/>
    <x v="25"/>
    <x v="0"/>
    <x v="4"/>
  </r>
  <r>
    <s v="196.207.207.12"/>
    <n v="1700"/>
    <x v="0"/>
    <x v="58"/>
    <x v="0"/>
    <x v="5"/>
  </r>
  <r>
    <s v="82.151.82.99"/>
    <n v="81"/>
    <x v="25"/>
    <x v="125"/>
    <x v="0"/>
    <x v="5"/>
  </r>
  <r>
    <s v="82.151.82.99"/>
    <n v="80"/>
    <x v="25"/>
    <x v="125"/>
    <x v="0"/>
    <x v="5"/>
  </r>
  <r>
    <s v="105.96.24.180"/>
    <n v="8069"/>
    <x v="2"/>
    <x v="33"/>
    <x v="0"/>
    <x v="5"/>
  </r>
  <r>
    <s v="197.140.142.83"/>
    <n v="8069"/>
    <x v="2"/>
    <x v="96"/>
    <x v="0"/>
    <x v="5"/>
  </r>
  <r>
    <s v="102.220.31.15"/>
    <n v="9000"/>
    <x v="2"/>
    <x v="34"/>
    <x v="0"/>
    <x v="5"/>
  </r>
  <r>
    <s v="102.220.31.143"/>
    <n v="8069"/>
    <x v="2"/>
    <x v="34"/>
    <x v="0"/>
    <x v="5"/>
  </r>
  <r>
    <s v="41.223.236.26"/>
    <n v="8099"/>
    <x v="2"/>
    <x v="126"/>
    <x v="0"/>
    <x v="5"/>
  </r>
  <r>
    <s v="197.140.29.113"/>
    <n v="8069"/>
    <x v="2"/>
    <x v="127"/>
    <x v="0"/>
    <x v="5"/>
  </r>
  <r>
    <s v="197.140.142.197"/>
    <n v="8070"/>
    <x v="2"/>
    <x v="96"/>
    <x v="0"/>
    <x v="5"/>
  </r>
  <r>
    <s v="197.140.11.157"/>
    <n v="8069"/>
    <x v="2"/>
    <x v="127"/>
    <x v="0"/>
    <x v="5"/>
  </r>
  <r>
    <s v="41.111.248.58"/>
    <n v="8069"/>
    <x v="2"/>
    <x v="2"/>
    <x v="0"/>
    <x v="5"/>
  </r>
  <r>
    <s v="105.96.40.95"/>
    <n v="8070"/>
    <x v="2"/>
    <x v="33"/>
    <x v="0"/>
    <x v="5"/>
  </r>
  <r>
    <s v="41.111.243.246"/>
    <n v="8888"/>
    <x v="2"/>
    <x v="2"/>
    <x v="0"/>
    <x v="5"/>
  </r>
  <r>
    <s v="102.220.31.15"/>
    <n v="8993"/>
    <x v="2"/>
    <x v="34"/>
    <x v="0"/>
    <x v="5"/>
  </r>
  <r>
    <s v="102.220.31.52"/>
    <n v="8069"/>
    <x v="2"/>
    <x v="34"/>
    <x v="0"/>
    <x v="5"/>
  </r>
  <r>
    <s v="105.96.52.23"/>
    <n v="8069"/>
    <x v="2"/>
    <x v="33"/>
    <x v="0"/>
    <x v="5"/>
  </r>
  <r>
    <s v="102.220.30.58"/>
    <n v="8067"/>
    <x v="2"/>
    <x v="34"/>
    <x v="0"/>
    <x v="5"/>
  </r>
  <r>
    <s v="105.96.40.95"/>
    <n v="8069"/>
    <x v="2"/>
    <x v="33"/>
    <x v="0"/>
    <x v="5"/>
  </r>
  <r>
    <s v="102.220.31.15"/>
    <n v="8999"/>
    <x v="2"/>
    <x v="34"/>
    <x v="0"/>
    <x v="5"/>
  </r>
  <r>
    <s v="102.207.216.169"/>
    <n v="8069"/>
    <x v="2"/>
    <x v="128"/>
    <x v="0"/>
    <x v="5"/>
  </r>
  <r>
    <s v="102.207.216.204"/>
    <n v="8069"/>
    <x v="2"/>
    <x v="128"/>
    <x v="0"/>
    <x v="5"/>
  </r>
  <r>
    <s v="102.220.30.111"/>
    <n v="8069"/>
    <x v="2"/>
    <x v="34"/>
    <x v="0"/>
    <x v="5"/>
  </r>
  <r>
    <s v="164.160.33.124"/>
    <n v="8069"/>
    <x v="19"/>
    <x v="64"/>
    <x v="0"/>
    <x v="5"/>
  </r>
  <r>
    <s v="102.222.64.218"/>
    <n v="8069"/>
    <x v="3"/>
    <x v="129"/>
    <x v="0"/>
    <x v="5"/>
  </r>
  <r>
    <s v="129.0.111.246"/>
    <n v="8069"/>
    <x v="5"/>
    <x v="130"/>
    <x v="0"/>
    <x v="5"/>
  </r>
  <r>
    <s v="102.220.19.211"/>
    <n v="9019"/>
    <x v="5"/>
    <x v="131"/>
    <x v="0"/>
    <x v="5"/>
  </r>
  <r>
    <s v="102.132.29.166"/>
    <n v="8069"/>
    <x v="5"/>
    <x v="132"/>
    <x v="0"/>
    <x v="5"/>
  </r>
  <r>
    <s v="102.213.5.62"/>
    <n v="8069"/>
    <x v="7"/>
    <x v="133"/>
    <x v="0"/>
    <x v="5"/>
  </r>
  <r>
    <s v="102.37.140.133"/>
    <n v="80"/>
    <x v="7"/>
    <x v="102"/>
    <x v="0"/>
    <x v="5"/>
  </r>
  <r>
    <s v="102.133.208.211"/>
    <n v="80"/>
    <x v="7"/>
    <x v="109"/>
    <x v="0"/>
    <x v="5"/>
  </r>
  <r>
    <s v="102.37.211.181"/>
    <n v="8069"/>
    <x v="7"/>
    <x v="102"/>
    <x v="0"/>
    <x v="5"/>
  </r>
  <r>
    <s v="41.161.58.35"/>
    <n v="8090"/>
    <x v="7"/>
    <x v="107"/>
    <x v="0"/>
    <x v="5"/>
  </r>
  <r>
    <s v="102.135.163.100"/>
    <n v="80"/>
    <x v="7"/>
    <x v="106"/>
    <x v="0"/>
    <x v="5"/>
  </r>
  <r>
    <s v="197.189.209.58"/>
    <n v="9070"/>
    <x v="7"/>
    <x v="41"/>
    <x v="0"/>
    <x v="5"/>
  </r>
  <r>
    <s v="20.164.16.216"/>
    <n v="8069"/>
    <x v="7"/>
    <x v="42"/>
    <x v="0"/>
    <x v="5"/>
  </r>
  <r>
    <s v="159.138.175.163"/>
    <n v="8069"/>
    <x v="7"/>
    <x v="134"/>
    <x v="0"/>
    <x v="5"/>
  </r>
  <r>
    <s v="203.123.82.255"/>
    <n v="80"/>
    <x v="7"/>
    <x v="135"/>
    <x v="0"/>
    <x v="5"/>
  </r>
  <r>
    <s v="159.138.171.168"/>
    <n v="8069"/>
    <x v="7"/>
    <x v="134"/>
    <x v="0"/>
    <x v="5"/>
  </r>
  <r>
    <s v="102.37.214.59"/>
    <n v="8069"/>
    <x v="7"/>
    <x v="102"/>
    <x v="0"/>
    <x v="5"/>
  </r>
  <r>
    <s v="139.84.241.35"/>
    <n v="8069"/>
    <x v="7"/>
    <x v="136"/>
    <x v="0"/>
    <x v="5"/>
  </r>
  <r>
    <s v="159.138.171.168"/>
    <n v="8099"/>
    <x v="7"/>
    <x v="134"/>
    <x v="0"/>
    <x v="5"/>
  </r>
  <r>
    <s v="41.185.71.213"/>
    <n v="8969"/>
    <x v="7"/>
    <x v="137"/>
    <x v="0"/>
    <x v="5"/>
  </r>
  <r>
    <s v="139.84.229.99"/>
    <n v="8069"/>
    <x v="7"/>
    <x v="103"/>
    <x v="0"/>
    <x v="5"/>
  </r>
  <r>
    <s v="13.247.144.247"/>
    <n v="80"/>
    <x v="7"/>
    <x v="43"/>
    <x v="0"/>
    <x v="5"/>
  </r>
  <r>
    <s v="160.119.251.248"/>
    <n v="80"/>
    <x v="7"/>
    <x v="8"/>
    <x v="0"/>
    <x v="5"/>
  </r>
  <r>
    <s v="20.164.16.76"/>
    <n v="8069"/>
    <x v="7"/>
    <x v="42"/>
    <x v="0"/>
    <x v="5"/>
  </r>
  <r>
    <s v="102.210.146.140"/>
    <n v="8069"/>
    <x v="7"/>
    <x v="138"/>
    <x v="0"/>
    <x v="5"/>
  </r>
  <r>
    <s v="197.231.147.21"/>
    <n v="8069"/>
    <x v="7"/>
    <x v="139"/>
    <x v="0"/>
    <x v="5"/>
  </r>
  <r>
    <s v="154.66.197.127"/>
    <n v="8069"/>
    <x v="7"/>
    <x v="140"/>
    <x v="0"/>
    <x v="5"/>
  </r>
  <r>
    <s v="203.123.83.78"/>
    <n v="8086"/>
    <x v="7"/>
    <x v="135"/>
    <x v="0"/>
    <x v="5"/>
  </r>
  <r>
    <s v="102.213.5.61"/>
    <n v="8072"/>
    <x v="7"/>
    <x v="133"/>
    <x v="0"/>
    <x v="5"/>
  </r>
  <r>
    <s v="197.189.209.58"/>
    <n v="9098"/>
    <x v="7"/>
    <x v="41"/>
    <x v="0"/>
    <x v="5"/>
  </r>
  <r>
    <s v="203.123.82.255"/>
    <n v="8069"/>
    <x v="7"/>
    <x v="135"/>
    <x v="0"/>
    <x v="5"/>
  </r>
  <r>
    <s v="160.119.251.248"/>
    <n v="8069"/>
    <x v="7"/>
    <x v="8"/>
    <x v="0"/>
    <x v="5"/>
  </r>
  <r>
    <s v="41.185.71.214"/>
    <n v="9000"/>
    <x v="7"/>
    <x v="137"/>
    <x v="0"/>
    <x v="5"/>
  </r>
  <r>
    <s v="203.123.85.144"/>
    <n v="8069"/>
    <x v="7"/>
    <x v="135"/>
    <x v="0"/>
    <x v="5"/>
  </r>
  <r>
    <s v="34.35.34.33"/>
    <n v="80"/>
    <x v="7"/>
    <x v="141"/>
    <x v="0"/>
    <x v="5"/>
  </r>
  <r>
    <s v="13.244.64.76"/>
    <n v="80"/>
    <x v="7"/>
    <x v="43"/>
    <x v="0"/>
    <x v="5"/>
  </r>
  <r>
    <s v="102.213.5.61"/>
    <n v="8069"/>
    <x v="7"/>
    <x v="133"/>
    <x v="0"/>
    <x v="5"/>
  </r>
  <r>
    <s v="129.151.165.215"/>
    <n v="80"/>
    <x v="7"/>
    <x v="39"/>
    <x v="0"/>
    <x v="5"/>
  </r>
  <r>
    <s v="102.135.163.100"/>
    <n v="8069"/>
    <x v="7"/>
    <x v="106"/>
    <x v="0"/>
    <x v="5"/>
  </r>
  <r>
    <s v="203.123.83.78"/>
    <n v="9999"/>
    <x v="7"/>
    <x v="135"/>
    <x v="0"/>
    <x v="5"/>
  </r>
  <r>
    <s v="159.138.171.168"/>
    <n v="8090"/>
    <x v="7"/>
    <x v="134"/>
    <x v="0"/>
    <x v="5"/>
  </r>
  <r>
    <s v="196.35.132.51"/>
    <n v="8069"/>
    <x v="7"/>
    <x v="142"/>
    <x v="0"/>
    <x v="5"/>
  </r>
  <r>
    <s v="197.242.156.89"/>
    <n v="8069"/>
    <x v="7"/>
    <x v="143"/>
    <x v="0"/>
    <x v="5"/>
  </r>
  <r>
    <s v="41.185.48.45"/>
    <n v="8817"/>
    <x v="7"/>
    <x v="11"/>
    <x v="0"/>
    <x v="5"/>
  </r>
  <r>
    <s v="129.151.168.229"/>
    <n v="8069"/>
    <x v="7"/>
    <x v="39"/>
    <x v="0"/>
    <x v="5"/>
  </r>
  <r>
    <s v="159.138.171.168"/>
    <n v="9099"/>
    <x v="7"/>
    <x v="134"/>
    <x v="0"/>
    <x v="5"/>
  </r>
  <r>
    <s v="105.29.74.19"/>
    <n v="4040"/>
    <x v="7"/>
    <x v="144"/>
    <x v="0"/>
    <x v="5"/>
  </r>
  <r>
    <s v="203.123.83.78"/>
    <n v="8075"/>
    <x v="7"/>
    <x v="135"/>
    <x v="0"/>
    <x v="5"/>
  </r>
  <r>
    <s v="41.185.48.42"/>
    <n v="8817"/>
    <x v="7"/>
    <x v="11"/>
    <x v="0"/>
    <x v="5"/>
  </r>
  <r>
    <s v="41.185.71.214"/>
    <n v="8969"/>
    <x v="7"/>
    <x v="137"/>
    <x v="0"/>
    <x v="5"/>
  </r>
  <r>
    <s v="196.200.84.162"/>
    <n v="8069"/>
    <x v="20"/>
    <x v="145"/>
    <x v="0"/>
    <x v="5"/>
  </r>
  <r>
    <s v="156.38.70.115"/>
    <n v="8069"/>
    <x v="31"/>
    <x v="146"/>
    <x v="0"/>
    <x v="5"/>
  </r>
  <r>
    <s v="102.222.106.124"/>
    <n v="8069"/>
    <x v="21"/>
    <x v="147"/>
    <x v="0"/>
    <x v="5"/>
  </r>
  <r>
    <s v="197.227.3.141"/>
    <n v="8069"/>
    <x v="21"/>
    <x v="46"/>
    <x v="0"/>
    <x v="5"/>
  </r>
  <r>
    <s v="102.222.106.197"/>
    <n v="8069"/>
    <x v="21"/>
    <x v="147"/>
    <x v="0"/>
    <x v="5"/>
  </r>
  <r>
    <s v="196.20.130.187"/>
    <n v="8069"/>
    <x v="21"/>
    <x v="46"/>
    <x v="0"/>
    <x v="5"/>
  </r>
  <r>
    <s v="102.222.106.192"/>
    <n v="8069"/>
    <x v="21"/>
    <x v="147"/>
    <x v="0"/>
    <x v="5"/>
  </r>
  <r>
    <s v="102.223.38.97"/>
    <n v="8069"/>
    <x v="9"/>
    <x v="112"/>
    <x v="0"/>
    <x v="5"/>
  </r>
  <r>
    <s v="196.13.207.242"/>
    <n v="80"/>
    <x v="9"/>
    <x v="148"/>
    <x v="0"/>
    <x v="5"/>
  </r>
  <r>
    <s v="196.188.187.153"/>
    <n v="9013"/>
    <x v="10"/>
    <x v="17"/>
    <x v="0"/>
    <x v="5"/>
  </r>
  <r>
    <s v="196.188.187.239"/>
    <n v="444"/>
    <x v="10"/>
    <x v="17"/>
    <x v="0"/>
    <x v="5"/>
  </r>
  <r>
    <s v="196.188.187.183"/>
    <n v="80"/>
    <x v="10"/>
    <x v="17"/>
    <x v="0"/>
    <x v="5"/>
  </r>
  <r>
    <s v="196.189.155.183"/>
    <n v="8069"/>
    <x v="10"/>
    <x v="17"/>
    <x v="0"/>
    <x v="5"/>
  </r>
  <r>
    <s v="196.188.187.183"/>
    <n v="8069"/>
    <x v="10"/>
    <x v="17"/>
    <x v="0"/>
    <x v="5"/>
  </r>
  <r>
    <s v="196.188.249.78"/>
    <n v="10018"/>
    <x v="10"/>
    <x v="17"/>
    <x v="0"/>
    <x v="5"/>
  </r>
  <r>
    <s v="196.189.93.178"/>
    <n v="8069"/>
    <x v="10"/>
    <x v="149"/>
    <x v="0"/>
    <x v="5"/>
  </r>
  <r>
    <s v="196.189.155.220"/>
    <n v="8069"/>
    <x v="10"/>
    <x v="17"/>
    <x v="0"/>
    <x v="5"/>
  </r>
  <r>
    <s v="196.188.187.153"/>
    <n v="8888"/>
    <x v="10"/>
    <x v="17"/>
    <x v="0"/>
    <x v="5"/>
  </r>
  <r>
    <s v="196.188.187.153"/>
    <n v="9009"/>
    <x v="10"/>
    <x v="17"/>
    <x v="0"/>
    <x v="5"/>
  </r>
  <r>
    <s v="196.189.116.194"/>
    <n v="80"/>
    <x v="10"/>
    <x v="150"/>
    <x v="0"/>
    <x v="5"/>
  </r>
  <r>
    <s v="196.188.187.239"/>
    <n v="9090"/>
    <x v="10"/>
    <x v="17"/>
    <x v="0"/>
    <x v="5"/>
  </r>
  <r>
    <s v="196.188.41.79"/>
    <n v="8069"/>
    <x v="10"/>
    <x v="17"/>
    <x v="0"/>
    <x v="5"/>
  </r>
  <r>
    <s v="196.188.104.38"/>
    <n v="8069"/>
    <x v="10"/>
    <x v="17"/>
    <x v="0"/>
    <x v="5"/>
  </r>
  <r>
    <s v="196.189.126.150"/>
    <n v="8086"/>
    <x v="10"/>
    <x v="17"/>
    <x v="0"/>
    <x v="5"/>
  </r>
  <r>
    <s v="196.188.187.153"/>
    <n v="8069"/>
    <x v="10"/>
    <x v="17"/>
    <x v="0"/>
    <x v="5"/>
  </r>
  <r>
    <s v="196.189.126.74"/>
    <n v="8090"/>
    <x v="10"/>
    <x v="17"/>
    <x v="0"/>
    <x v="5"/>
  </r>
  <r>
    <s v="196.188.63.207"/>
    <n v="8069"/>
    <x v="10"/>
    <x v="17"/>
    <x v="0"/>
    <x v="5"/>
  </r>
  <r>
    <s v="196.189.22.169"/>
    <n v="8069"/>
    <x v="10"/>
    <x v="17"/>
    <x v="0"/>
    <x v="5"/>
  </r>
  <r>
    <s v="196.189.117.185"/>
    <n v="8076"/>
    <x v="10"/>
    <x v="115"/>
    <x v="0"/>
    <x v="5"/>
  </r>
  <r>
    <s v="197.232.113.230"/>
    <n v="80"/>
    <x v="12"/>
    <x v="151"/>
    <x v="0"/>
    <x v="5"/>
  </r>
  <r>
    <s v="41.242.2.167"/>
    <n v="8072"/>
    <x v="12"/>
    <x v="152"/>
    <x v="0"/>
    <x v="5"/>
  </r>
  <r>
    <s v="197.248.43.119"/>
    <n v="8069"/>
    <x v="12"/>
    <x v="77"/>
    <x v="0"/>
    <x v="5"/>
  </r>
  <r>
    <s v="102.217.156.103"/>
    <n v="8069"/>
    <x v="12"/>
    <x v="153"/>
    <x v="0"/>
    <x v="5"/>
  </r>
  <r>
    <s v="197.232.90.155"/>
    <n v="8069"/>
    <x v="12"/>
    <x v="151"/>
    <x v="0"/>
    <x v="5"/>
  </r>
  <r>
    <s v="196.223.245.83"/>
    <n v="8069"/>
    <x v="23"/>
    <x v="154"/>
    <x v="0"/>
    <x v="5"/>
  </r>
  <r>
    <s v="41.155.249.177"/>
    <n v="8017"/>
    <x v="13"/>
    <x v="51"/>
    <x v="0"/>
    <x v="5"/>
  </r>
  <r>
    <s v="154.239.10.5"/>
    <n v="8060"/>
    <x v="13"/>
    <x v="50"/>
    <x v="0"/>
    <x v="5"/>
  </r>
  <r>
    <s v="41.65.30.239"/>
    <n v="8069"/>
    <x v="13"/>
    <x v="50"/>
    <x v="0"/>
    <x v="5"/>
  </r>
  <r>
    <s v="41.128.143.196"/>
    <n v="8090"/>
    <x v="13"/>
    <x v="23"/>
    <x v="0"/>
    <x v="5"/>
  </r>
  <r>
    <s v="156.212.116.98"/>
    <n v="8008"/>
    <x v="13"/>
    <x v="22"/>
    <x v="0"/>
    <x v="5"/>
  </r>
  <r>
    <s v="197.134.251.128"/>
    <n v="8069"/>
    <x v="13"/>
    <x v="52"/>
    <x v="0"/>
    <x v="5"/>
  </r>
  <r>
    <s v="102.46.164.4"/>
    <n v="80"/>
    <x v="13"/>
    <x v="22"/>
    <x v="0"/>
    <x v="5"/>
  </r>
  <r>
    <s v="197.44.210.35"/>
    <n v="8072"/>
    <x v="13"/>
    <x v="22"/>
    <x v="0"/>
    <x v="5"/>
  </r>
  <r>
    <s v="62.193.97.142"/>
    <n v="80"/>
    <x v="13"/>
    <x v="155"/>
    <x v="0"/>
    <x v="5"/>
  </r>
  <r>
    <s v="41.32.15.164"/>
    <n v="8069"/>
    <x v="13"/>
    <x v="84"/>
    <x v="0"/>
    <x v="5"/>
  </r>
  <r>
    <s v="41.33.81.75"/>
    <n v="8069"/>
    <x v="13"/>
    <x v="22"/>
    <x v="0"/>
    <x v="5"/>
  </r>
  <r>
    <s v="102.217.70.113"/>
    <n v="8069"/>
    <x v="13"/>
    <x v="79"/>
    <x v="0"/>
    <x v="5"/>
  </r>
  <r>
    <s v="41.32.4.18"/>
    <n v="8069"/>
    <x v="13"/>
    <x v="84"/>
    <x v="0"/>
    <x v="5"/>
  </r>
  <r>
    <s v="101.46.70.29"/>
    <n v="8069"/>
    <x v="13"/>
    <x v="156"/>
    <x v="0"/>
    <x v="5"/>
  </r>
  <r>
    <s v="41.128.143.115"/>
    <n v="8017"/>
    <x v="13"/>
    <x v="23"/>
    <x v="0"/>
    <x v="5"/>
  </r>
  <r>
    <s v="196.219.104.134"/>
    <n v="8069"/>
    <x v="13"/>
    <x v="22"/>
    <x v="0"/>
    <x v="5"/>
  </r>
  <r>
    <s v="156.200.104.98"/>
    <n v="8069"/>
    <x v="13"/>
    <x v="22"/>
    <x v="0"/>
    <x v="5"/>
  </r>
  <r>
    <s v="41.38.0.222"/>
    <n v="8080"/>
    <x v="13"/>
    <x v="22"/>
    <x v="0"/>
    <x v="5"/>
  </r>
  <r>
    <s v="102.217.70.113"/>
    <n v="8072"/>
    <x v="13"/>
    <x v="79"/>
    <x v="0"/>
    <x v="5"/>
  </r>
  <r>
    <s v="81.10.108.212"/>
    <n v="8069"/>
    <x v="13"/>
    <x v="22"/>
    <x v="0"/>
    <x v="5"/>
  </r>
  <r>
    <s v="196.219.146.244"/>
    <n v="8069"/>
    <x v="13"/>
    <x v="22"/>
    <x v="0"/>
    <x v="5"/>
  </r>
  <r>
    <s v="196.218.30.179"/>
    <n v="8069"/>
    <x v="13"/>
    <x v="22"/>
    <x v="0"/>
    <x v="5"/>
  </r>
  <r>
    <s v="62.140.93.218"/>
    <n v="8069"/>
    <x v="13"/>
    <x v="50"/>
    <x v="0"/>
    <x v="5"/>
  </r>
  <r>
    <s v="41.33.81.74"/>
    <n v="8069"/>
    <x v="13"/>
    <x v="22"/>
    <x v="0"/>
    <x v="5"/>
  </r>
  <r>
    <s v="196.218.141.51"/>
    <n v="8069"/>
    <x v="13"/>
    <x v="22"/>
    <x v="0"/>
    <x v="5"/>
  </r>
  <r>
    <s v="41.128.143.19"/>
    <n v="80"/>
    <x v="13"/>
    <x v="23"/>
    <x v="0"/>
    <x v="5"/>
  </r>
  <r>
    <s v="154.239.10.5"/>
    <n v="80"/>
    <x v="13"/>
    <x v="50"/>
    <x v="0"/>
    <x v="5"/>
  </r>
  <r>
    <s v="194.79.103.50"/>
    <n v="8069"/>
    <x v="13"/>
    <x v="157"/>
    <x v="0"/>
    <x v="5"/>
  </r>
  <r>
    <s v="41.131.49.18"/>
    <n v="8069"/>
    <x v="13"/>
    <x v="23"/>
    <x v="0"/>
    <x v="5"/>
  </r>
  <r>
    <s v="41.128.143.214"/>
    <n v="8069"/>
    <x v="13"/>
    <x v="23"/>
    <x v="0"/>
    <x v="5"/>
  </r>
  <r>
    <s v="41.38.0.100"/>
    <n v="8069"/>
    <x v="13"/>
    <x v="22"/>
    <x v="0"/>
    <x v="5"/>
  </r>
  <r>
    <s v="196.221.70.57"/>
    <n v="8069"/>
    <x v="13"/>
    <x v="24"/>
    <x v="0"/>
    <x v="5"/>
  </r>
  <r>
    <s v="81.10.14.133"/>
    <n v="8069"/>
    <x v="13"/>
    <x v="22"/>
    <x v="0"/>
    <x v="5"/>
  </r>
  <r>
    <s v="196.202.1.242"/>
    <n v="8069"/>
    <x v="13"/>
    <x v="22"/>
    <x v="0"/>
    <x v="5"/>
  </r>
  <r>
    <s v="197.44.210.35"/>
    <n v="80"/>
    <x v="13"/>
    <x v="22"/>
    <x v="0"/>
    <x v="5"/>
  </r>
  <r>
    <s v="196.221.197.139"/>
    <n v="8069"/>
    <x v="13"/>
    <x v="24"/>
    <x v="0"/>
    <x v="5"/>
  </r>
  <r>
    <s v="41.196.0.179"/>
    <n v="8069"/>
    <x v="13"/>
    <x v="80"/>
    <x v="0"/>
    <x v="5"/>
  </r>
  <r>
    <s v="41.32.15.165"/>
    <n v="8069"/>
    <x v="13"/>
    <x v="84"/>
    <x v="0"/>
    <x v="5"/>
  </r>
  <r>
    <s v="41.128.143.111"/>
    <n v="8069"/>
    <x v="13"/>
    <x v="23"/>
    <x v="0"/>
    <x v="5"/>
  </r>
  <r>
    <s v="154.239.10.5"/>
    <n v="8098"/>
    <x v="13"/>
    <x v="50"/>
    <x v="0"/>
    <x v="5"/>
  </r>
  <r>
    <s v="41.128.143.113"/>
    <n v="8069"/>
    <x v="13"/>
    <x v="23"/>
    <x v="0"/>
    <x v="5"/>
  </r>
  <r>
    <s v="41.32.39.248"/>
    <n v="8069"/>
    <x v="13"/>
    <x v="84"/>
    <x v="0"/>
    <x v="5"/>
  </r>
  <r>
    <s v="155.0.15.69"/>
    <n v="8069"/>
    <x v="28"/>
    <x v="158"/>
    <x v="0"/>
    <x v="5"/>
  </r>
  <r>
    <s v="216.234.212.156"/>
    <n v="8069"/>
    <x v="28"/>
    <x v="3"/>
    <x v="0"/>
    <x v="5"/>
  </r>
  <r>
    <s v="196.203.209.182"/>
    <n v="8069"/>
    <x v="14"/>
    <x v="25"/>
    <x v="0"/>
    <x v="5"/>
  </r>
  <r>
    <s v="102.211.210.164"/>
    <n v="8069"/>
    <x v="14"/>
    <x v="53"/>
    <x v="0"/>
    <x v="5"/>
  </r>
  <r>
    <s v="102.211.209.250"/>
    <n v="8069"/>
    <x v="14"/>
    <x v="53"/>
    <x v="0"/>
    <x v="5"/>
  </r>
  <r>
    <s v="197.13.30.195"/>
    <n v="8069"/>
    <x v="14"/>
    <x v="25"/>
    <x v="0"/>
    <x v="5"/>
  </r>
  <r>
    <s v="102.211.209.95"/>
    <n v="8069"/>
    <x v="14"/>
    <x v="53"/>
    <x v="0"/>
    <x v="5"/>
  </r>
  <r>
    <s v="102.211.210.143"/>
    <n v="8069"/>
    <x v="14"/>
    <x v="53"/>
    <x v="0"/>
    <x v="5"/>
  </r>
  <r>
    <s v="102.211.210.246"/>
    <n v="8069"/>
    <x v="14"/>
    <x v="53"/>
    <x v="0"/>
    <x v="5"/>
  </r>
  <r>
    <s v="197.3.9.76"/>
    <n v="8069"/>
    <x v="14"/>
    <x v="25"/>
    <x v="0"/>
    <x v="5"/>
  </r>
  <r>
    <s v="41.226.29.49"/>
    <n v="8069"/>
    <x v="14"/>
    <x v="25"/>
    <x v="0"/>
    <x v="5"/>
  </r>
  <r>
    <s v="41.204.111.212"/>
    <n v="8069"/>
    <x v="15"/>
    <x v="159"/>
    <x v="0"/>
    <x v="5"/>
  </r>
  <r>
    <s v="197.149.11.30"/>
    <n v="8009"/>
    <x v="15"/>
    <x v="26"/>
    <x v="0"/>
    <x v="5"/>
  </r>
  <r>
    <s v="41.204.111.212"/>
    <n v="80"/>
    <x v="15"/>
    <x v="159"/>
    <x v="0"/>
    <x v="5"/>
  </r>
  <r>
    <s v="41.204.107.135"/>
    <n v="8090"/>
    <x v="15"/>
    <x v="160"/>
    <x v="0"/>
    <x v="5"/>
  </r>
  <r>
    <s v="102.16.208.193"/>
    <n v="8097"/>
    <x v="15"/>
    <x v="26"/>
    <x v="0"/>
    <x v="5"/>
  </r>
  <r>
    <s v="102.17.192.179"/>
    <n v="8070"/>
    <x v="15"/>
    <x v="26"/>
    <x v="0"/>
    <x v="5"/>
  </r>
  <r>
    <s v="197.149.11.30"/>
    <n v="8008"/>
    <x v="15"/>
    <x v="26"/>
    <x v="0"/>
    <x v="5"/>
  </r>
  <r>
    <s v="102.16.208.193"/>
    <n v="8070"/>
    <x v="15"/>
    <x v="26"/>
    <x v="0"/>
    <x v="5"/>
  </r>
  <r>
    <s v="102.134.140.150"/>
    <n v="8069"/>
    <x v="24"/>
    <x v="161"/>
    <x v="0"/>
    <x v="5"/>
  </r>
  <r>
    <s v="154.72.193.254"/>
    <n v="8069"/>
    <x v="24"/>
    <x v="162"/>
    <x v="0"/>
    <x v="5"/>
  </r>
  <r>
    <s v="41.210.153.82"/>
    <n v="3181"/>
    <x v="24"/>
    <x v="163"/>
    <x v="0"/>
    <x v="5"/>
  </r>
  <r>
    <s v="41.141.86.117"/>
    <n v="9029"/>
    <x v="16"/>
    <x v="122"/>
    <x v="0"/>
    <x v="5"/>
  </r>
  <r>
    <s v="41.141.86.117"/>
    <n v="50101"/>
    <x v="16"/>
    <x v="122"/>
    <x v="0"/>
    <x v="5"/>
  </r>
  <r>
    <s v="41.141.86.117"/>
    <n v="9217"/>
    <x v="16"/>
    <x v="122"/>
    <x v="0"/>
    <x v="5"/>
  </r>
  <r>
    <s v="196.77.48.255"/>
    <n v="80"/>
    <x v="16"/>
    <x v="122"/>
    <x v="0"/>
    <x v="5"/>
  </r>
  <r>
    <s v="41.141.86.117"/>
    <n v="60021"/>
    <x v="16"/>
    <x v="122"/>
    <x v="0"/>
    <x v="5"/>
  </r>
  <r>
    <s v="41.141.86.117"/>
    <n v="9115"/>
    <x v="16"/>
    <x v="122"/>
    <x v="0"/>
    <x v="5"/>
  </r>
  <r>
    <s v="41.141.86.117"/>
    <n v="12515"/>
    <x v="16"/>
    <x v="122"/>
    <x v="0"/>
    <x v="5"/>
  </r>
  <r>
    <s v="41.141.86.117"/>
    <n v="44365"/>
    <x v="16"/>
    <x v="122"/>
    <x v="0"/>
    <x v="5"/>
  </r>
  <r>
    <s v="41.141.86.117"/>
    <n v="8531"/>
    <x v="16"/>
    <x v="122"/>
    <x v="0"/>
    <x v="5"/>
  </r>
  <r>
    <s v="102.50.252.170"/>
    <n v="8069"/>
    <x v="16"/>
    <x v="57"/>
    <x v="0"/>
    <x v="5"/>
  </r>
  <r>
    <s v="41.141.86.117"/>
    <n v="50104"/>
    <x v="16"/>
    <x v="122"/>
    <x v="0"/>
    <x v="5"/>
  </r>
  <r>
    <s v="41.141.86.117"/>
    <n v="10324"/>
    <x v="16"/>
    <x v="122"/>
    <x v="0"/>
    <x v="5"/>
  </r>
  <r>
    <s v="41.141.86.117"/>
    <n v="8434"/>
    <x v="16"/>
    <x v="122"/>
    <x v="0"/>
    <x v="5"/>
  </r>
  <r>
    <s v="41.141.86.117"/>
    <n v="9026"/>
    <x v="16"/>
    <x v="122"/>
    <x v="0"/>
    <x v="5"/>
  </r>
  <r>
    <s v="41.141.86.117"/>
    <n v="3558"/>
    <x v="16"/>
    <x v="122"/>
    <x v="0"/>
    <x v="5"/>
  </r>
  <r>
    <s v="41.250.67.236"/>
    <n v="80"/>
    <x v="16"/>
    <x v="122"/>
    <x v="0"/>
    <x v="5"/>
  </r>
  <r>
    <s v="41.141.86.117"/>
    <n v="12287"/>
    <x v="16"/>
    <x v="122"/>
    <x v="0"/>
    <x v="5"/>
  </r>
  <r>
    <s v="41.141.86.117"/>
    <n v="3530"/>
    <x v="16"/>
    <x v="122"/>
    <x v="0"/>
    <x v="5"/>
  </r>
  <r>
    <s v="41.141.86.117"/>
    <n v="21262"/>
    <x v="16"/>
    <x v="122"/>
    <x v="0"/>
    <x v="5"/>
  </r>
  <r>
    <s v="41.141.86.117"/>
    <n v="12295"/>
    <x v="16"/>
    <x v="122"/>
    <x v="0"/>
    <x v="5"/>
  </r>
  <r>
    <s v="41.141.86.117"/>
    <n v="3154"/>
    <x v="16"/>
    <x v="122"/>
    <x v="0"/>
    <x v="5"/>
  </r>
  <r>
    <s v="41.141.86.117"/>
    <n v="4840"/>
    <x v="16"/>
    <x v="122"/>
    <x v="0"/>
    <x v="5"/>
  </r>
  <r>
    <s v="41.141.86.117"/>
    <n v="110"/>
    <x v="16"/>
    <x v="122"/>
    <x v="0"/>
    <x v="5"/>
  </r>
  <r>
    <s v="41.141.86.117"/>
    <n v="902"/>
    <x v="16"/>
    <x v="122"/>
    <x v="0"/>
    <x v="5"/>
  </r>
  <r>
    <s v="105.155.176.158"/>
    <n v="80"/>
    <x v="16"/>
    <x v="122"/>
    <x v="0"/>
    <x v="5"/>
  </r>
  <r>
    <s v="41.141.86.117"/>
    <n v="8449"/>
    <x v="16"/>
    <x v="122"/>
    <x v="0"/>
    <x v="5"/>
  </r>
  <r>
    <s v="41.141.86.117"/>
    <n v="3167"/>
    <x v="16"/>
    <x v="122"/>
    <x v="0"/>
    <x v="5"/>
  </r>
  <r>
    <s v="41.141.86.117"/>
    <n v="12453"/>
    <x v="16"/>
    <x v="122"/>
    <x v="0"/>
    <x v="5"/>
  </r>
  <r>
    <s v="41.141.86.117"/>
    <n v="880"/>
    <x v="16"/>
    <x v="122"/>
    <x v="0"/>
    <x v="5"/>
  </r>
  <r>
    <s v="41.141.86.117"/>
    <n v="12280"/>
    <x v="16"/>
    <x v="122"/>
    <x v="0"/>
    <x v="5"/>
  </r>
  <r>
    <s v="41.141.86.117"/>
    <n v="3151"/>
    <x v="16"/>
    <x v="122"/>
    <x v="0"/>
    <x v="5"/>
  </r>
  <r>
    <s v="41.141.86.117"/>
    <n v="50100"/>
    <x v="16"/>
    <x v="122"/>
    <x v="0"/>
    <x v="5"/>
  </r>
  <r>
    <s v="41.141.86.117"/>
    <n v="8869"/>
    <x v="16"/>
    <x v="122"/>
    <x v="0"/>
    <x v="5"/>
  </r>
  <r>
    <s v="41.141.86.117"/>
    <n v="16098"/>
    <x v="16"/>
    <x v="122"/>
    <x v="0"/>
    <x v="5"/>
  </r>
  <r>
    <s v="41.141.86.117"/>
    <n v="4063"/>
    <x v="16"/>
    <x v="122"/>
    <x v="0"/>
    <x v="5"/>
  </r>
  <r>
    <s v="41.141.86.117"/>
    <n v="9191"/>
    <x v="16"/>
    <x v="122"/>
    <x v="0"/>
    <x v="5"/>
  </r>
  <r>
    <s v="41.141.86.117"/>
    <n v="60001"/>
    <x v="16"/>
    <x v="122"/>
    <x v="0"/>
    <x v="5"/>
  </r>
  <r>
    <s v="41.141.86.117"/>
    <n v="221"/>
    <x v="16"/>
    <x v="122"/>
    <x v="0"/>
    <x v="5"/>
  </r>
  <r>
    <s v="154.144.238.100"/>
    <n v="80"/>
    <x v="16"/>
    <x v="57"/>
    <x v="0"/>
    <x v="5"/>
  </r>
  <r>
    <s v="213.154.90.3"/>
    <n v="8069"/>
    <x v="0"/>
    <x v="164"/>
    <x v="0"/>
    <x v="6"/>
  </r>
  <r>
    <s v="102.164.134.24"/>
    <n v="8069"/>
    <x v="0"/>
    <x v="165"/>
    <x v="0"/>
    <x v="6"/>
  </r>
  <r>
    <s v="102.164.134.26"/>
    <n v="8080"/>
    <x v="0"/>
    <x v="165"/>
    <x v="0"/>
    <x v="6"/>
  </r>
  <r>
    <s v="102.69.181.174"/>
    <n v="8069"/>
    <x v="27"/>
    <x v="166"/>
    <x v="0"/>
    <x v="6"/>
  </r>
  <r>
    <s v="41.243.15.218"/>
    <n v="8069"/>
    <x v="27"/>
    <x v="167"/>
    <x v="0"/>
    <x v="6"/>
  </r>
  <r>
    <s v="154.241.59.39"/>
    <n v="7777"/>
    <x v="2"/>
    <x v="33"/>
    <x v="0"/>
    <x v="6"/>
  </r>
  <r>
    <s v="102.220.31.129"/>
    <n v="80"/>
    <x v="2"/>
    <x v="34"/>
    <x v="0"/>
    <x v="6"/>
  </r>
  <r>
    <s v="105.96.87.72"/>
    <n v="8080"/>
    <x v="2"/>
    <x v="33"/>
    <x v="0"/>
    <x v="6"/>
  </r>
  <r>
    <s v="197.140.142.216"/>
    <n v="8069"/>
    <x v="2"/>
    <x v="96"/>
    <x v="0"/>
    <x v="6"/>
  </r>
  <r>
    <s v="102.220.31.120"/>
    <n v="8069"/>
    <x v="2"/>
    <x v="34"/>
    <x v="0"/>
    <x v="6"/>
  </r>
  <r>
    <s v="105.96.64.22"/>
    <n v="8069"/>
    <x v="2"/>
    <x v="33"/>
    <x v="0"/>
    <x v="6"/>
  </r>
  <r>
    <s v="154.73.102.37"/>
    <n v="8090"/>
    <x v="19"/>
    <x v="168"/>
    <x v="0"/>
    <x v="6"/>
  </r>
  <r>
    <s v="160.154.199.237"/>
    <n v="8069"/>
    <x v="19"/>
    <x v="35"/>
    <x v="0"/>
    <x v="6"/>
  </r>
  <r>
    <s v="160.155.31.218"/>
    <n v="8069"/>
    <x v="19"/>
    <x v="35"/>
    <x v="0"/>
    <x v="6"/>
  </r>
  <r>
    <s v="102.208.48.1"/>
    <n v="8069"/>
    <x v="6"/>
    <x v="169"/>
    <x v="0"/>
    <x v="6"/>
  </r>
  <r>
    <s v="102.213.183.247"/>
    <n v="80"/>
    <x v="6"/>
    <x v="99"/>
    <x v="0"/>
    <x v="6"/>
  </r>
  <r>
    <s v="105.247.205.31"/>
    <n v="8069"/>
    <x v="7"/>
    <x v="170"/>
    <x v="0"/>
    <x v="6"/>
  </r>
  <r>
    <s v="129.232.233.68"/>
    <n v="8069"/>
    <x v="7"/>
    <x v="41"/>
    <x v="0"/>
    <x v="6"/>
  </r>
  <r>
    <s v="41.76.109.247"/>
    <n v="8069"/>
    <x v="7"/>
    <x v="71"/>
    <x v="0"/>
    <x v="6"/>
  </r>
  <r>
    <s v="102.130.112.42"/>
    <n v="8050"/>
    <x v="7"/>
    <x v="8"/>
    <x v="0"/>
    <x v="6"/>
  </r>
  <r>
    <s v="129.151.165.207"/>
    <n v="8069"/>
    <x v="7"/>
    <x v="39"/>
    <x v="0"/>
    <x v="6"/>
  </r>
  <r>
    <s v="34.35.19.36"/>
    <n v="80"/>
    <x v="7"/>
    <x v="141"/>
    <x v="0"/>
    <x v="6"/>
  </r>
  <r>
    <s v="139.84.233.73"/>
    <n v="20018"/>
    <x v="7"/>
    <x v="103"/>
    <x v="0"/>
    <x v="6"/>
  </r>
  <r>
    <s v="102.130.120.148"/>
    <n v="8069"/>
    <x v="7"/>
    <x v="69"/>
    <x v="0"/>
    <x v="6"/>
  </r>
  <r>
    <s v="4.221.172.215"/>
    <n v="80"/>
    <x v="7"/>
    <x v="42"/>
    <x v="0"/>
    <x v="6"/>
  </r>
  <r>
    <s v="129.151.183.168"/>
    <n v="8069"/>
    <x v="7"/>
    <x v="39"/>
    <x v="0"/>
    <x v="6"/>
  </r>
  <r>
    <s v="102.130.125.89"/>
    <n v="8069"/>
    <x v="7"/>
    <x v="69"/>
    <x v="0"/>
    <x v="6"/>
  </r>
  <r>
    <s v="84.8.129.245"/>
    <n v="80"/>
    <x v="7"/>
    <x v="171"/>
    <x v="0"/>
    <x v="6"/>
  </r>
  <r>
    <s v="102.130.120.148"/>
    <n v="8000"/>
    <x v="7"/>
    <x v="69"/>
    <x v="0"/>
    <x v="6"/>
  </r>
  <r>
    <s v="102.208.207.44"/>
    <n v="8069"/>
    <x v="7"/>
    <x v="172"/>
    <x v="0"/>
    <x v="6"/>
  </r>
  <r>
    <s v="13.247.209.103"/>
    <n v="80"/>
    <x v="7"/>
    <x v="43"/>
    <x v="0"/>
    <x v="6"/>
  </r>
  <r>
    <s v="40.127.9.86"/>
    <n v="8069"/>
    <x v="7"/>
    <x v="42"/>
    <x v="0"/>
    <x v="6"/>
  </r>
  <r>
    <s v="34.35.97.247"/>
    <n v="8069"/>
    <x v="7"/>
    <x v="141"/>
    <x v="0"/>
    <x v="6"/>
  </r>
  <r>
    <s v="139.84.228.47"/>
    <n v="8069"/>
    <x v="7"/>
    <x v="103"/>
    <x v="0"/>
    <x v="6"/>
  </r>
  <r>
    <s v="41.79.76.238"/>
    <n v="8069"/>
    <x v="7"/>
    <x v="70"/>
    <x v="0"/>
    <x v="6"/>
  </r>
  <r>
    <s v="102.219.58.94"/>
    <n v="8069"/>
    <x v="7"/>
    <x v="173"/>
    <x v="0"/>
    <x v="6"/>
  </r>
  <r>
    <s v="102.222.106.85"/>
    <n v="8069"/>
    <x v="21"/>
    <x v="147"/>
    <x v="0"/>
    <x v="6"/>
  </r>
  <r>
    <s v="102.222.107.72"/>
    <n v="8069"/>
    <x v="21"/>
    <x v="147"/>
    <x v="0"/>
    <x v="6"/>
  </r>
  <r>
    <s v="41.138.165.73"/>
    <n v="8090"/>
    <x v="9"/>
    <x v="174"/>
    <x v="0"/>
    <x v="6"/>
  </r>
  <r>
    <s v="196.188.63.93"/>
    <n v="8069"/>
    <x v="10"/>
    <x v="17"/>
    <x v="0"/>
    <x v="6"/>
  </r>
  <r>
    <s v="196.189.155.220"/>
    <n v="8316"/>
    <x v="10"/>
    <x v="17"/>
    <x v="0"/>
    <x v="6"/>
  </r>
  <r>
    <s v="196.189.54.33"/>
    <n v="8069"/>
    <x v="10"/>
    <x v="175"/>
    <x v="0"/>
    <x v="6"/>
  </r>
  <r>
    <s v="62.12.113.113"/>
    <n v="8069"/>
    <x v="12"/>
    <x v="118"/>
    <x v="0"/>
    <x v="6"/>
  </r>
  <r>
    <s v="102.210.247.4"/>
    <n v="8069"/>
    <x v="12"/>
    <x v="176"/>
    <x v="0"/>
    <x v="6"/>
  </r>
  <r>
    <s v="102.210.247.6"/>
    <n v="8069"/>
    <x v="12"/>
    <x v="176"/>
    <x v="0"/>
    <x v="6"/>
  </r>
  <r>
    <s v="102.221.33.169"/>
    <n v="8031"/>
    <x v="12"/>
    <x v="152"/>
    <x v="0"/>
    <x v="6"/>
  </r>
  <r>
    <s v="41.242.2.190"/>
    <n v="8069"/>
    <x v="12"/>
    <x v="152"/>
    <x v="0"/>
    <x v="6"/>
  </r>
  <r>
    <s v="41.220.124.68"/>
    <n v="8090"/>
    <x v="12"/>
    <x v="177"/>
    <x v="0"/>
    <x v="6"/>
  </r>
  <r>
    <s v="197.243.27.129"/>
    <n v="80"/>
    <x v="23"/>
    <x v="78"/>
    <x v="0"/>
    <x v="6"/>
  </r>
  <r>
    <s v="81.10.64.38"/>
    <n v="8069"/>
    <x v="13"/>
    <x v="22"/>
    <x v="0"/>
    <x v="6"/>
  </r>
  <r>
    <s v="156.214.152.119"/>
    <n v="8069"/>
    <x v="13"/>
    <x v="22"/>
    <x v="0"/>
    <x v="6"/>
  </r>
  <r>
    <s v="82.129.226.38"/>
    <n v="8069"/>
    <x v="13"/>
    <x v="52"/>
    <x v="0"/>
    <x v="6"/>
  </r>
  <r>
    <s v="197.44.11.136"/>
    <n v="8069"/>
    <x v="13"/>
    <x v="22"/>
    <x v="0"/>
    <x v="6"/>
  </r>
  <r>
    <s v="41.128.143.75"/>
    <n v="80"/>
    <x v="13"/>
    <x v="23"/>
    <x v="0"/>
    <x v="6"/>
  </r>
  <r>
    <s v="197.44.210.242"/>
    <n v="8069"/>
    <x v="13"/>
    <x v="22"/>
    <x v="0"/>
    <x v="6"/>
  </r>
  <r>
    <s v="41.128.143.75"/>
    <n v="8069"/>
    <x v="13"/>
    <x v="23"/>
    <x v="0"/>
    <x v="6"/>
  </r>
  <r>
    <s v="196.202.53.103"/>
    <n v="8069"/>
    <x v="13"/>
    <x v="22"/>
    <x v="0"/>
    <x v="6"/>
  </r>
  <r>
    <s v="154.236.187.103"/>
    <n v="8069"/>
    <x v="13"/>
    <x v="50"/>
    <x v="0"/>
    <x v="6"/>
  </r>
  <r>
    <s v="81.10.92.78"/>
    <n v="8069"/>
    <x v="13"/>
    <x v="22"/>
    <x v="0"/>
    <x v="6"/>
  </r>
  <r>
    <s v="41.32.74.93"/>
    <n v="80"/>
    <x v="13"/>
    <x v="84"/>
    <x v="0"/>
    <x v="6"/>
  </r>
  <r>
    <s v="101.46.65.35"/>
    <n v="8069"/>
    <x v="13"/>
    <x v="156"/>
    <x v="0"/>
    <x v="6"/>
  </r>
  <r>
    <s v="197.44.10.67"/>
    <n v="8069"/>
    <x v="13"/>
    <x v="22"/>
    <x v="0"/>
    <x v="6"/>
  </r>
  <r>
    <s v="196.202.110.26"/>
    <n v="8069"/>
    <x v="13"/>
    <x v="22"/>
    <x v="0"/>
    <x v="6"/>
  </r>
  <r>
    <s v="197.44.11.140"/>
    <n v="8069"/>
    <x v="13"/>
    <x v="22"/>
    <x v="0"/>
    <x v="6"/>
  </r>
  <r>
    <s v="196.202.26.226"/>
    <n v="8069"/>
    <x v="13"/>
    <x v="22"/>
    <x v="0"/>
    <x v="6"/>
  </r>
  <r>
    <s v="197.134.249.121"/>
    <n v="8099"/>
    <x v="13"/>
    <x v="52"/>
    <x v="0"/>
    <x v="6"/>
  </r>
  <r>
    <s v="41.32.223.62"/>
    <n v="8069"/>
    <x v="13"/>
    <x v="84"/>
    <x v="0"/>
    <x v="6"/>
  </r>
  <r>
    <s v="41.32.78.106"/>
    <n v="80"/>
    <x v="13"/>
    <x v="84"/>
    <x v="0"/>
    <x v="6"/>
  </r>
  <r>
    <s v="196.204.71.120"/>
    <n v="80"/>
    <x v="13"/>
    <x v="178"/>
    <x v="0"/>
    <x v="6"/>
  </r>
  <r>
    <s v="41.32.86.123"/>
    <n v="80"/>
    <x v="13"/>
    <x v="84"/>
    <x v="0"/>
    <x v="6"/>
  </r>
  <r>
    <s v="197.44.11.142"/>
    <n v="8069"/>
    <x v="13"/>
    <x v="22"/>
    <x v="0"/>
    <x v="6"/>
  </r>
  <r>
    <s v="197.44.11.139"/>
    <n v="8069"/>
    <x v="13"/>
    <x v="22"/>
    <x v="0"/>
    <x v="6"/>
  </r>
  <r>
    <s v="197.44.11.143"/>
    <n v="8069"/>
    <x v="13"/>
    <x v="22"/>
    <x v="0"/>
    <x v="6"/>
  </r>
  <r>
    <s v="197.44.11.138"/>
    <n v="8069"/>
    <x v="13"/>
    <x v="22"/>
    <x v="0"/>
    <x v="6"/>
  </r>
  <r>
    <s v="81.10.105.203"/>
    <n v="10033"/>
    <x v="13"/>
    <x v="22"/>
    <x v="0"/>
    <x v="6"/>
  </r>
  <r>
    <s v="196.219.138.199"/>
    <n v="80"/>
    <x v="13"/>
    <x v="22"/>
    <x v="0"/>
    <x v="6"/>
  </r>
  <r>
    <s v="41.38.64.11"/>
    <n v="8069"/>
    <x v="13"/>
    <x v="22"/>
    <x v="0"/>
    <x v="6"/>
  </r>
  <r>
    <s v="197.44.42.194"/>
    <n v="8069"/>
    <x v="13"/>
    <x v="22"/>
    <x v="0"/>
    <x v="6"/>
  </r>
  <r>
    <s v="196.221.144.139"/>
    <n v="80"/>
    <x v="13"/>
    <x v="24"/>
    <x v="0"/>
    <x v="6"/>
  </r>
  <r>
    <s v="41.38.154.178"/>
    <n v="80"/>
    <x v="13"/>
    <x v="22"/>
    <x v="0"/>
    <x v="6"/>
  </r>
  <r>
    <s v="196.221.197.130"/>
    <n v="8018"/>
    <x v="13"/>
    <x v="24"/>
    <x v="0"/>
    <x v="6"/>
  </r>
  <r>
    <s v="196.219.12.13"/>
    <n v="8069"/>
    <x v="13"/>
    <x v="22"/>
    <x v="0"/>
    <x v="6"/>
  </r>
  <r>
    <s v="81.10.92.78"/>
    <n v="80"/>
    <x v="13"/>
    <x v="22"/>
    <x v="0"/>
    <x v="6"/>
  </r>
  <r>
    <s v="164.160.104.46"/>
    <n v="80"/>
    <x v="13"/>
    <x v="179"/>
    <x v="2"/>
    <x v="6"/>
  </r>
  <r>
    <s v="41.65.223.246"/>
    <n v="8069"/>
    <x v="13"/>
    <x v="50"/>
    <x v="0"/>
    <x v="6"/>
  </r>
  <r>
    <s v="197.134.252.119"/>
    <n v="8069"/>
    <x v="13"/>
    <x v="52"/>
    <x v="0"/>
    <x v="6"/>
  </r>
  <r>
    <s v="81.10.105.203"/>
    <n v="10022"/>
    <x v="13"/>
    <x v="22"/>
    <x v="0"/>
    <x v="6"/>
  </r>
  <r>
    <s v="102.68.137.202"/>
    <n v="8069"/>
    <x v="28"/>
    <x v="180"/>
    <x v="0"/>
    <x v="6"/>
  </r>
  <r>
    <s v="41.230.21.219"/>
    <n v="8069"/>
    <x v="14"/>
    <x v="25"/>
    <x v="0"/>
    <x v="6"/>
  </r>
  <r>
    <s v="102.211.209.61"/>
    <n v="8069"/>
    <x v="14"/>
    <x v="53"/>
    <x v="0"/>
    <x v="6"/>
  </r>
  <r>
    <s v="102.211.209.110"/>
    <n v="8069"/>
    <x v="14"/>
    <x v="53"/>
    <x v="0"/>
    <x v="6"/>
  </r>
  <r>
    <s v="41.230.21.219"/>
    <n v="80"/>
    <x v="14"/>
    <x v="25"/>
    <x v="0"/>
    <x v="6"/>
  </r>
  <r>
    <s v="41.231.5.103"/>
    <n v="80"/>
    <x v="14"/>
    <x v="25"/>
    <x v="0"/>
    <x v="6"/>
  </r>
  <r>
    <s v="196.203.28.46"/>
    <n v="8069"/>
    <x v="14"/>
    <x v="25"/>
    <x v="0"/>
    <x v="6"/>
  </r>
  <r>
    <s v="102.211.209.43"/>
    <n v="8069"/>
    <x v="14"/>
    <x v="53"/>
    <x v="0"/>
    <x v="6"/>
  </r>
  <r>
    <s v="102.211.210.39"/>
    <n v="88"/>
    <x v="14"/>
    <x v="53"/>
    <x v="0"/>
    <x v="6"/>
  </r>
  <r>
    <s v="102.211.209.43"/>
    <n v="80"/>
    <x v="14"/>
    <x v="53"/>
    <x v="0"/>
    <x v="6"/>
  </r>
  <r>
    <s v="102.16.125.140"/>
    <n v="80"/>
    <x v="15"/>
    <x v="26"/>
    <x v="0"/>
    <x v="6"/>
  </r>
  <r>
    <s v="102.16.125.140"/>
    <n v="8069"/>
    <x v="15"/>
    <x v="26"/>
    <x v="0"/>
    <x v="6"/>
  </r>
  <r>
    <s v="41.220.3.20"/>
    <n v="8069"/>
    <x v="24"/>
    <x v="181"/>
    <x v="0"/>
    <x v="6"/>
  </r>
  <r>
    <s v="102.50.244.70"/>
    <n v="8018"/>
    <x v="16"/>
    <x v="57"/>
    <x v="0"/>
    <x v="6"/>
  </r>
  <r>
    <s v="102.53.13.188"/>
    <n v="8086"/>
    <x v="16"/>
    <x v="182"/>
    <x v="0"/>
    <x v="6"/>
  </r>
  <r>
    <s v="197.153.58.117"/>
    <n v="8069"/>
    <x v="16"/>
    <x v="28"/>
    <x v="0"/>
    <x v="6"/>
  </r>
  <r>
    <s v="196.117.91.116"/>
    <n v="8069"/>
    <x v="16"/>
    <x v="183"/>
    <x v="0"/>
    <x v="6"/>
  </r>
  <r>
    <s v="196.117.91.116"/>
    <n v="8069"/>
    <x v="16"/>
    <x v="183"/>
    <x v="0"/>
    <x v="6"/>
  </r>
  <r>
    <s v="196.127.127.166"/>
    <n v="8069"/>
    <x v="16"/>
    <x v="183"/>
    <x v="0"/>
    <x v="6"/>
  </r>
  <r>
    <s v="141.227.142.236"/>
    <n v="8072"/>
    <x v="16"/>
    <x v="184"/>
    <x v="0"/>
    <x v="6"/>
  </r>
  <r>
    <s v="196.27.98.31"/>
    <n v="8069"/>
    <x v="30"/>
    <x v="185"/>
    <x v="0"/>
    <x v="6"/>
  </r>
  <r>
    <s v="41.174.185.108"/>
    <n v="8069"/>
    <x v="30"/>
    <x v="107"/>
    <x v="0"/>
    <x v="6"/>
  </r>
  <r>
    <s v="154.119.80.34"/>
    <n v="8069"/>
    <x v="30"/>
    <x v="123"/>
    <x v="0"/>
    <x v="6"/>
  </r>
  <r>
    <s v="84.8.142.252"/>
    <n v="8069"/>
    <x v="7"/>
    <x v="171"/>
    <x v="0"/>
    <x v="7"/>
  </r>
  <r>
    <s v="164.160.6.50"/>
    <n v="8069"/>
    <x v="24"/>
    <x v="186"/>
    <x v="0"/>
    <x v="7"/>
  </r>
  <r>
    <s v="41.77.187.33"/>
    <n v="8069"/>
    <x v="17"/>
    <x v="187"/>
    <x v="0"/>
    <x v="8"/>
  </r>
  <r>
    <s v="45.221.248.252"/>
    <n v="8069"/>
    <x v="18"/>
    <x v="60"/>
    <x v="0"/>
    <x v="8"/>
  </r>
  <r>
    <s v="139.84.231.122"/>
    <n v="8069"/>
    <x v="7"/>
    <x v="103"/>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DD9ED-7D0E-944F-B883-8315677BB4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6">
    <pivotField showAll="0"/>
    <pivotField showAll="0"/>
    <pivotField showAll="0">
      <items count="33">
        <item x="2"/>
        <item x="1"/>
        <item x="18"/>
        <item x="5"/>
        <item x="27"/>
        <item x="19"/>
        <item x="26"/>
        <item x="13"/>
        <item x="10"/>
        <item x="4"/>
        <item x="17"/>
        <item x="12"/>
        <item x="6"/>
        <item x="15"/>
        <item x="20"/>
        <item x="25"/>
        <item x="21"/>
        <item x="16"/>
        <item x="29"/>
        <item x="9"/>
        <item x="23"/>
        <item x="0"/>
        <item x="8"/>
        <item x="7"/>
        <item x="3"/>
        <item x="22"/>
        <item x="11"/>
        <item x="31"/>
        <item x="14"/>
        <item x="24"/>
        <item x="28"/>
        <item x="30"/>
        <item t="default"/>
      </items>
    </pivotField>
    <pivotField showAll="0"/>
    <pivotField dataField="1" showAll="0">
      <items count="4">
        <item x="1"/>
        <item x="2"/>
        <item x="0"/>
        <item t="default"/>
      </items>
    </pivotField>
    <pivotField axis="axisRow" showAll="0">
      <items count="11">
        <item x="0"/>
        <item x="1"/>
        <item x="2"/>
        <item x="3"/>
        <item x="4"/>
        <item x="5"/>
        <item x="6"/>
        <item x="7"/>
        <item x="8"/>
        <item x="9"/>
        <item t="default"/>
      </items>
    </pivotField>
  </pivotFields>
  <rowFields count="1">
    <field x="5"/>
  </rowFields>
  <rowItems count="11">
    <i>
      <x/>
    </i>
    <i>
      <x v="1"/>
    </i>
    <i>
      <x v="2"/>
    </i>
    <i>
      <x v="3"/>
    </i>
    <i>
      <x v="4"/>
    </i>
    <i>
      <x v="5"/>
    </i>
    <i>
      <x v="6"/>
    </i>
    <i>
      <x v="7"/>
    </i>
    <i>
      <x v="8"/>
    </i>
    <i>
      <x v="9"/>
    </i>
    <i t="grand">
      <x/>
    </i>
  </rowItems>
  <colItems count="1">
    <i/>
  </colItems>
  <dataFields count="1">
    <dataField name="Count of Title" fld="4"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2BC96-EFD8-B64B-BFF5-25BC9429436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192" firstHeaderRow="1" firstDataRow="1" firstDataCol="1"/>
  <pivotFields count="6">
    <pivotField showAll="0"/>
    <pivotField showAll="0"/>
    <pivotField showAll="0">
      <items count="33">
        <item x="2"/>
        <item x="1"/>
        <item x="18"/>
        <item x="5"/>
        <item x="27"/>
        <item x="19"/>
        <item x="26"/>
        <item x="13"/>
        <item x="10"/>
        <item x="4"/>
        <item x="17"/>
        <item x="12"/>
        <item x="6"/>
        <item x="15"/>
        <item x="20"/>
        <item x="25"/>
        <item x="21"/>
        <item x="16"/>
        <item x="29"/>
        <item x="9"/>
        <item x="23"/>
        <item x="0"/>
        <item x="8"/>
        <item x="7"/>
        <item x="3"/>
        <item x="22"/>
        <item x="11"/>
        <item x="31"/>
        <item x="14"/>
        <item x="24"/>
        <item x="28"/>
        <item x="30"/>
        <item t="default"/>
      </items>
    </pivotField>
    <pivotField axis="axisRow" showAll="0">
      <items count="189">
        <item x="137"/>
        <item x="11"/>
        <item x="55"/>
        <item x="183"/>
        <item x="2"/>
        <item x="150"/>
        <item x="63"/>
        <item x="34"/>
        <item x="97"/>
        <item x="122"/>
        <item x="111"/>
        <item x="143"/>
        <item x="148"/>
        <item x="180"/>
        <item x="48"/>
        <item x="119"/>
        <item x="115"/>
        <item x="7"/>
        <item x="185"/>
        <item x="43"/>
        <item x="152"/>
        <item x="110"/>
        <item x="44"/>
        <item x="25"/>
        <item x="154"/>
        <item x="128"/>
        <item x="139"/>
        <item x="66"/>
        <item x="82"/>
        <item x="90"/>
        <item x="104"/>
        <item x="68"/>
        <item x="121"/>
        <item x="159"/>
        <item x="70"/>
        <item x="147"/>
        <item x="87"/>
        <item x="61"/>
        <item x="168"/>
        <item x="101"/>
        <item x="181"/>
        <item x="0"/>
        <item x="124"/>
        <item x="71"/>
        <item x="140"/>
        <item x="142"/>
        <item x="83"/>
        <item x="179"/>
        <item x="19"/>
        <item x="114"/>
        <item x="149"/>
        <item x="17"/>
        <item x="49"/>
        <item x="21"/>
        <item x="47"/>
        <item x="5"/>
        <item x="98"/>
        <item x="92"/>
        <item x="141"/>
        <item x="160"/>
        <item x="146"/>
        <item x="138"/>
        <item x="69"/>
        <item x="161"/>
        <item x="45"/>
        <item x="73"/>
        <item x="106"/>
        <item x="118"/>
        <item x="133"/>
        <item x="9"/>
        <item x="134"/>
        <item x="156"/>
        <item x="135"/>
        <item x="127"/>
        <item x="164"/>
        <item x="172"/>
        <item x="157"/>
        <item x="6"/>
        <item x="32"/>
        <item x="167"/>
        <item x="126"/>
        <item x="151"/>
        <item x="117"/>
        <item x="4"/>
        <item x="78"/>
        <item x="88"/>
        <item x="105"/>
        <item x="91"/>
        <item x="38"/>
        <item x="99"/>
        <item x="81"/>
        <item x="80"/>
        <item x="23"/>
        <item x="107"/>
        <item x="178"/>
        <item x="16"/>
        <item x="37"/>
        <item x="125"/>
        <item x="46"/>
        <item x="56"/>
        <item x="28"/>
        <item x="109"/>
        <item x="102"/>
        <item x="42"/>
        <item x="27"/>
        <item x="59"/>
        <item x="31"/>
        <item x="130"/>
        <item x="163"/>
        <item x="74"/>
        <item x="50"/>
        <item x="162"/>
        <item x="112"/>
        <item x="96"/>
        <item x="57"/>
        <item x="39"/>
        <item x="171"/>
        <item x="35"/>
        <item x="30"/>
        <item x="145"/>
        <item x="100"/>
        <item x="184"/>
        <item x="53"/>
        <item x="94"/>
        <item x="173"/>
        <item x="54"/>
        <item x="182"/>
        <item x="79"/>
        <item x="86"/>
        <item x="95"/>
        <item x="24"/>
        <item x="77"/>
        <item x="113"/>
        <item x="165"/>
        <item x="72"/>
        <item x="144"/>
        <item x="123"/>
        <item x="155"/>
        <item x="169"/>
        <item x="65"/>
        <item x="75"/>
        <item x="129"/>
        <item x="93"/>
        <item x="76"/>
        <item x="15"/>
        <item x="186"/>
        <item x="13"/>
        <item x="14"/>
        <item x="89"/>
        <item x="58"/>
        <item x="3"/>
        <item x="131"/>
        <item x="60"/>
        <item x="132"/>
        <item x="20"/>
        <item x="176"/>
        <item x="22"/>
        <item x="84"/>
        <item x="33"/>
        <item x="26"/>
        <item x="12"/>
        <item x="108"/>
        <item x="136"/>
        <item x="116"/>
        <item x="64"/>
        <item x="51"/>
        <item x="18"/>
        <item x="175"/>
        <item x="177"/>
        <item x="1"/>
        <item x="29"/>
        <item x="166"/>
        <item x="187"/>
        <item x="36"/>
        <item x="67"/>
        <item x="174"/>
        <item x="170"/>
        <item x="10"/>
        <item x="52"/>
        <item x="85"/>
        <item x="8"/>
        <item x="103"/>
        <item x="153"/>
        <item x="40"/>
        <item x="120"/>
        <item x="41"/>
        <item x="158"/>
        <item x="62"/>
        <item t="default"/>
      </items>
    </pivotField>
    <pivotField dataField="1" showAll="0">
      <items count="4">
        <item x="1"/>
        <item x="2"/>
        <item x="0"/>
        <item t="default"/>
      </items>
    </pivotField>
    <pivotField showAll="0">
      <items count="11">
        <item x="0"/>
        <item x="1"/>
        <item x="2"/>
        <item x="3"/>
        <item x="4"/>
        <item x="5"/>
        <item x="6"/>
        <item x="7"/>
        <item x="8"/>
        <item x="9"/>
        <item t="default"/>
      </items>
    </pivotField>
  </pivotFields>
  <rowFields count="1">
    <field x="3"/>
  </rowFields>
  <rowItems count="1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t="grand">
      <x/>
    </i>
  </rowItems>
  <colItems count="1">
    <i/>
  </colItems>
  <dataFields count="1">
    <dataField name="Count of Title" fld="4" subtotal="count" baseField="0" baseItem="0"/>
  </dataFields>
  <chartFormats count="3">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EB198-254F-7B48-ABB0-EAFF353CFB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F34" firstHeaderRow="1" firstDataRow="1" firstDataCol="1"/>
  <pivotFields count="6">
    <pivotField showAll="0"/>
    <pivotField showAll="0"/>
    <pivotField axis="axisRow" showAll="0">
      <items count="33">
        <item x="2"/>
        <item x="1"/>
        <item x="18"/>
        <item x="5"/>
        <item x="27"/>
        <item x="19"/>
        <item x="26"/>
        <item x="13"/>
        <item x="10"/>
        <item x="4"/>
        <item x="17"/>
        <item x="12"/>
        <item x="6"/>
        <item x="15"/>
        <item x="20"/>
        <item x="25"/>
        <item x="21"/>
        <item x="16"/>
        <item x="29"/>
        <item x="9"/>
        <item x="23"/>
        <item x="0"/>
        <item x="8"/>
        <item x="7"/>
        <item x="3"/>
        <item x="22"/>
        <item x="11"/>
        <item x="31"/>
        <item x="14"/>
        <item x="24"/>
        <item x="28"/>
        <item x="30"/>
        <item t="default"/>
      </items>
    </pivotField>
    <pivotField dataField="1" showAll="0">
      <items count="189">
        <item x="137"/>
        <item x="11"/>
        <item x="55"/>
        <item x="183"/>
        <item x="2"/>
        <item x="150"/>
        <item x="63"/>
        <item x="34"/>
        <item x="97"/>
        <item x="122"/>
        <item x="111"/>
        <item x="143"/>
        <item x="148"/>
        <item x="180"/>
        <item x="48"/>
        <item x="119"/>
        <item x="115"/>
        <item x="7"/>
        <item x="185"/>
        <item x="43"/>
        <item x="152"/>
        <item x="110"/>
        <item x="44"/>
        <item x="25"/>
        <item x="154"/>
        <item x="128"/>
        <item x="139"/>
        <item x="66"/>
        <item x="82"/>
        <item x="90"/>
        <item x="104"/>
        <item x="68"/>
        <item x="121"/>
        <item x="159"/>
        <item x="70"/>
        <item x="147"/>
        <item x="87"/>
        <item x="61"/>
        <item x="168"/>
        <item x="101"/>
        <item x="181"/>
        <item x="0"/>
        <item x="124"/>
        <item x="71"/>
        <item x="140"/>
        <item x="142"/>
        <item x="83"/>
        <item x="179"/>
        <item x="19"/>
        <item x="114"/>
        <item x="149"/>
        <item x="17"/>
        <item x="49"/>
        <item x="21"/>
        <item x="47"/>
        <item x="5"/>
        <item x="98"/>
        <item x="92"/>
        <item x="141"/>
        <item x="160"/>
        <item x="146"/>
        <item x="138"/>
        <item x="69"/>
        <item x="161"/>
        <item x="45"/>
        <item x="73"/>
        <item x="106"/>
        <item x="118"/>
        <item x="133"/>
        <item x="9"/>
        <item x="134"/>
        <item x="156"/>
        <item x="135"/>
        <item x="127"/>
        <item x="164"/>
        <item x="172"/>
        <item x="157"/>
        <item x="6"/>
        <item x="32"/>
        <item x="167"/>
        <item x="126"/>
        <item x="151"/>
        <item x="117"/>
        <item x="4"/>
        <item x="78"/>
        <item x="88"/>
        <item x="105"/>
        <item x="91"/>
        <item x="38"/>
        <item x="99"/>
        <item x="81"/>
        <item x="80"/>
        <item x="23"/>
        <item x="107"/>
        <item x="178"/>
        <item x="16"/>
        <item x="37"/>
        <item x="125"/>
        <item x="46"/>
        <item x="56"/>
        <item x="28"/>
        <item x="109"/>
        <item x="102"/>
        <item x="42"/>
        <item x="27"/>
        <item x="59"/>
        <item x="31"/>
        <item x="130"/>
        <item x="163"/>
        <item x="74"/>
        <item x="50"/>
        <item x="162"/>
        <item x="112"/>
        <item x="96"/>
        <item x="57"/>
        <item x="39"/>
        <item x="171"/>
        <item x="35"/>
        <item x="30"/>
        <item x="145"/>
        <item x="100"/>
        <item x="184"/>
        <item x="53"/>
        <item x="94"/>
        <item x="173"/>
        <item x="54"/>
        <item x="182"/>
        <item x="79"/>
        <item x="86"/>
        <item x="95"/>
        <item x="24"/>
        <item x="77"/>
        <item x="113"/>
        <item x="165"/>
        <item x="72"/>
        <item x="144"/>
        <item x="123"/>
        <item x="155"/>
        <item x="169"/>
        <item x="65"/>
        <item x="75"/>
        <item x="129"/>
        <item x="93"/>
        <item x="76"/>
        <item x="15"/>
        <item x="186"/>
        <item x="13"/>
        <item x="14"/>
        <item x="89"/>
        <item x="58"/>
        <item x="3"/>
        <item x="131"/>
        <item x="60"/>
        <item x="132"/>
        <item x="20"/>
        <item x="176"/>
        <item x="22"/>
        <item x="84"/>
        <item x="33"/>
        <item x="26"/>
        <item x="12"/>
        <item x="108"/>
        <item x="136"/>
        <item x="116"/>
        <item x="64"/>
        <item x="51"/>
        <item x="18"/>
        <item x="175"/>
        <item x="177"/>
        <item x="1"/>
        <item x="29"/>
        <item x="166"/>
        <item x="187"/>
        <item x="36"/>
        <item x="67"/>
        <item x="174"/>
        <item x="170"/>
        <item x="10"/>
        <item x="52"/>
        <item x="85"/>
        <item x="8"/>
        <item x="103"/>
        <item x="153"/>
        <item x="40"/>
        <item x="120"/>
        <item x="41"/>
        <item x="158"/>
        <item x="62"/>
        <item t="default"/>
      </items>
    </pivotField>
    <pivotField showAll="0">
      <items count="4">
        <item x="1"/>
        <item x="2"/>
        <item x="0"/>
        <item t="default"/>
      </items>
    </pivotField>
    <pivotField showAll="0">
      <items count="11">
        <item x="0"/>
        <item x="1"/>
        <item x="2"/>
        <item x="3"/>
        <item x="4"/>
        <item x="5"/>
        <item x="6"/>
        <item x="7"/>
        <item x="8"/>
        <item x="9"/>
        <item t="default"/>
      </items>
    </pivotField>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Organization" fld="3" subtotal="count" baseField="0" baseItem="0"/>
  </dataFields>
  <chartFormats count="3">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BF5FF1C-4FD7-BD4F-A49C-5422E53019E8}" sourceName="Country">
  <pivotTables>
    <pivotTable tabId="3" name="PivotTable1"/>
    <pivotTable tabId="3" name="PivotTable4"/>
    <pivotTable tabId="3" name="PivotTable6"/>
  </pivotTables>
  <data>
    <tabular pivotCacheId="300568179">
      <items count="32">
        <i x="2" s="1"/>
        <i x="1" s="1"/>
        <i x="18" s="1"/>
        <i x="5" s="1"/>
        <i x="27" s="1"/>
        <i x="19" s="1"/>
        <i x="26" s="1"/>
        <i x="13" s="1"/>
        <i x="10" s="1"/>
        <i x="4" s="1"/>
        <i x="17" s="1"/>
        <i x="12" s="1"/>
        <i x="6" s="1"/>
        <i x="15" s="1"/>
        <i x="20" s="1"/>
        <i x="25" s="1"/>
        <i x="21" s="1"/>
        <i x="16" s="1"/>
        <i x="29" s="1"/>
        <i x="9" s="1"/>
        <i x="23" s="1"/>
        <i x="0" s="1"/>
        <i x="8" s="1"/>
        <i x="7" s="1"/>
        <i x="3" s="1"/>
        <i x="22" s="1"/>
        <i x="11" s="1"/>
        <i x="31" s="1"/>
        <i x="14" s="1"/>
        <i x="24" s="1"/>
        <i x="28"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989ED19-F874-6341-9EBC-442165D9867D}" cache="Slicer_Country" caption="Country" startItem="16" columnCount="8" showCaption="0" style="SlicerStyleOther1" rowHeight="23071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ED8A-C9A7-2240-AEC4-7564D24A4B63}">
  <dimension ref="A2:L27"/>
  <sheetViews>
    <sheetView zoomScale="160" zoomScaleNormal="160" workbookViewId="0">
      <selection activeCell="D8" sqref="D8"/>
    </sheetView>
  </sheetViews>
  <sheetFormatPr baseColWidth="10" defaultColWidth="11.5" defaultRowHeight="15" x14ac:dyDescent="0.2"/>
  <cols>
    <col min="1" max="1" width="14.6640625" bestFit="1" customWidth="1"/>
    <col min="2" max="2" width="8.83203125" bestFit="1" customWidth="1"/>
    <col min="3" max="10" width="14.6640625" bestFit="1" customWidth="1"/>
  </cols>
  <sheetData>
    <row r="2" spans="1:12" ht="16" thickBot="1" x14ac:dyDescent="0.25">
      <c r="A2" s="43" t="s">
        <v>0</v>
      </c>
      <c r="B2" s="43"/>
      <c r="C2" s="46" t="s">
        <v>1</v>
      </c>
      <c r="D2" s="44" t="s">
        <v>2</v>
      </c>
      <c r="E2" s="44" t="s">
        <v>3</v>
      </c>
      <c r="F2" s="44" t="s">
        <v>4</v>
      </c>
      <c r="G2" s="44" t="s">
        <v>5</v>
      </c>
      <c r="H2" s="44" t="s">
        <v>6</v>
      </c>
      <c r="I2" s="44" t="s">
        <v>7</v>
      </c>
      <c r="J2" s="41" t="s">
        <v>8</v>
      </c>
    </row>
    <row r="3" spans="1:12" ht="16" thickTop="1" x14ac:dyDescent="0.2">
      <c r="A3" s="43"/>
      <c r="B3" s="43"/>
      <c r="C3" s="47"/>
      <c r="D3" s="45"/>
      <c r="E3" s="45"/>
      <c r="F3" s="45"/>
      <c r="G3" s="45"/>
      <c r="H3" s="45"/>
      <c r="I3" s="45"/>
      <c r="J3" s="42"/>
      <c r="K3" s="14" t="s">
        <v>9</v>
      </c>
    </row>
    <row r="4" spans="1:12" ht="17" customHeight="1" thickBot="1" x14ac:dyDescent="0.25">
      <c r="A4" s="48" t="s">
        <v>10</v>
      </c>
      <c r="B4" s="5" t="s">
        <v>11</v>
      </c>
      <c r="C4" s="20">
        <v>1</v>
      </c>
      <c r="D4" s="20">
        <v>1</v>
      </c>
      <c r="E4" s="20">
        <v>1</v>
      </c>
      <c r="F4" s="20">
        <v>1</v>
      </c>
      <c r="G4" s="20">
        <v>1</v>
      </c>
      <c r="H4" s="20">
        <v>1</v>
      </c>
      <c r="I4" s="20">
        <v>1</v>
      </c>
      <c r="J4" s="21">
        <v>1</v>
      </c>
      <c r="K4">
        <f>SUM(C4:J4)</f>
        <v>8</v>
      </c>
      <c r="L4" s="14" t="s">
        <v>11</v>
      </c>
    </row>
    <row r="5" spans="1:12" ht="17" customHeight="1" thickTop="1" x14ac:dyDescent="0.2">
      <c r="A5" s="49"/>
      <c r="B5" s="16" t="s">
        <v>12</v>
      </c>
      <c r="C5" s="10">
        <v>0</v>
      </c>
      <c r="D5" s="10">
        <v>0</v>
      </c>
      <c r="E5" s="10">
        <v>0</v>
      </c>
      <c r="F5" s="10">
        <v>0</v>
      </c>
      <c r="G5" s="10">
        <v>0</v>
      </c>
      <c r="H5" s="10">
        <v>0</v>
      </c>
      <c r="I5" s="10">
        <v>0</v>
      </c>
      <c r="J5" s="11">
        <v>0</v>
      </c>
      <c r="K5">
        <f t="shared" ref="K5:K6" si="0">SUM(C5:J5)</f>
        <v>0</v>
      </c>
      <c r="L5" s="14" t="s">
        <v>12</v>
      </c>
    </row>
    <row r="6" spans="1:12" ht="17" customHeight="1" x14ac:dyDescent="0.2">
      <c r="A6" s="49"/>
      <c r="B6" s="5" t="s">
        <v>13</v>
      </c>
      <c r="C6" s="10">
        <v>0</v>
      </c>
      <c r="D6" s="10">
        <v>0</v>
      </c>
      <c r="E6" s="10">
        <v>0</v>
      </c>
      <c r="F6" s="10">
        <v>0</v>
      </c>
      <c r="G6" s="10">
        <v>0</v>
      </c>
      <c r="H6" s="10">
        <v>0</v>
      </c>
      <c r="I6" s="10">
        <v>0</v>
      </c>
      <c r="J6" s="11">
        <v>0</v>
      </c>
      <c r="K6">
        <f t="shared" si="0"/>
        <v>0</v>
      </c>
      <c r="L6" s="14" t="s">
        <v>13</v>
      </c>
    </row>
    <row r="7" spans="1:12" x14ac:dyDescent="0.2">
      <c r="A7" s="50"/>
      <c r="B7" s="7" t="s">
        <v>14</v>
      </c>
      <c r="C7" s="12">
        <v>0</v>
      </c>
      <c r="D7" s="12">
        <v>0</v>
      </c>
      <c r="E7" s="12">
        <v>0</v>
      </c>
      <c r="F7" s="12">
        <v>0</v>
      </c>
      <c r="G7" s="12">
        <v>0</v>
      </c>
      <c r="H7" s="12">
        <v>0</v>
      </c>
      <c r="I7" s="12">
        <v>0</v>
      </c>
      <c r="J7" s="13">
        <v>0</v>
      </c>
      <c r="K7">
        <f>SUM(C7:J7)</f>
        <v>0</v>
      </c>
      <c r="L7" s="14" t="s">
        <v>14</v>
      </c>
    </row>
    <row r="8" spans="1:12" ht="16" thickBot="1" x14ac:dyDescent="0.25">
      <c r="A8" s="51" t="s">
        <v>15</v>
      </c>
      <c r="B8" s="6" t="s">
        <v>11</v>
      </c>
      <c r="C8" s="20">
        <v>1</v>
      </c>
      <c r="D8" s="9">
        <v>0</v>
      </c>
      <c r="E8" s="9">
        <v>0</v>
      </c>
      <c r="F8" s="20">
        <v>1</v>
      </c>
      <c r="G8" s="9">
        <v>0</v>
      </c>
      <c r="H8" s="9">
        <v>0</v>
      </c>
      <c r="I8" s="20">
        <v>1</v>
      </c>
      <c r="J8" s="8">
        <v>0</v>
      </c>
      <c r="K8">
        <f>SUM(C8:J8)</f>
        <v>3</v>
      </c>
      <c r="L8" s="14" t="s">
        <v>11</v>
      </c>
    </row>
    <row r="9" spans="1:12" ht="16" thickTop="1" x14ac:dyDescent="0.2">
      <c r="A9" s="49"/>
      <c r="B9" s="16" t="s">
        <v>12</v>
      </c>
      <c r="C9" s="10">
        <v>0</v>
      </c>
      <c r="D9" s="10">
        <v>0</v>
      </c>
      <c r="E9" s="10">
        <v>0</v>
      </c>
      <c r="F9" s="10">
        <v>0</v>
      </c>
      <c r="G9" s="10">
        <v>0</v>
      </c>
      <c r="H9" s="10">
        <v>0</v>
      </c>
      <c r="I9" s="10">
        <v>0</v>
      </c>
      <c r="J9" s="11">
        <v>0</v>
      </c>
      <c r="K9">
        <f t="shared" ref="K9:K10" si="1">SUM(C9:J9)</f>
        <v>0</v>
      </c>
      <c r="L9" s="14" t="s">
        <v>12</v>
      </c>
    </row>
    <row r="10" spans="1:12" x14ac:dyDescent="0.2">
      <c r="A10" s="49"/>
      <c r="B10" s="5" t="s">
        <v>13</v>
      </c>
      <c r="C10" s="10">
        <v>0</v>
      </c>
      <c r="D10" s="10">
        <v>0</v>
      </c>
      <c r="E10" s="10">
        <v>0</v>
      </c>
      <c r="F10" s="10">
        <v>0</v>
      </c>
      <c r="G10" s="10">
        <v>0</v>
      </c>
      <c r="H10" s="10">
        <v>0</v>
      </c>
      <c r="I10" s="10">
        <v>0</v>
      </c>
      <c r="J10" s="11">
        <v>0</v>
      </c>
      <c r="K10">
        <f t="shared" si="1"/>
        <v>0</v>
      </c>
      <c r="L10" s="14" t="s">
        <v>13</v>
      </c>
    </row>
    <row r="11" spans="1:12" x14ac:dyDescent="0.2">
      <c r="A11" s="50"/>
      <c r="B11" s="7" t="s">
        <v>14</v>
      </c>
      <c r="C11" s="12">
        <v>0</v>
      </c>
      <c r="D11" s="12">
        <v>0</v>
      </c>
      <c r="E11" s="12">
        <v>0</v>
      </c>
      <c r="F11" s="12">
        <v>0</v>
      </c>
      <c r="G11" s="12">
        <v>0</v>
      </c>
      <c r="H11" s="12">
        <v>0</v>
      </c>
      <c r="I11" s="12">
        <v>0</v>
      </c>
      <c r="J11" s="13">
        <v>0</v>
      </c>
      <c r="K11">
        <f>SUM(C11:J11)</f>
        <v>0</v>
      </c>
      <c r="L11" s="14" t="s">
        <v>14</v>
      </c>
    </row>
    <row r="12" spans="1:12" ht="16" thickBot="1" x14ac:dyDescent="0.25">
      <c r="A12" s="48" t="s">
        <v>16</v>
      </c>
      <c r="B12" s="6" t="s">
        <v>11</v>
      </c>
      <c r="C12" s="9">
        <v>0</v>
      </c>
      <c r="D12" s="9">
        <v>0</v>
      </c>
      <c r="E12" s="9">
        <v>0</v>
      </c>
      <c r="F12" s="20">
        <v>1</v>
      </c>
      <c r="G12" s="9">
        <v>0</v>
      </c>
      <c r="H12" s="20">
        <v>1</v>
      </c>
      <c r="I12" s="9">
        <v>0</v>
      </c>
      <c r="J12" s="20">
        <v>1</v>
      </c>
      <c r="K12">
        <f>SUM(C12:J12)</f>
        <v>3</v>
      </c>
      <c r="L12" s="14" t="s">
        <v>11</v>
      </c>
    </row>
    <row r="13" spans="1:12" ht="16" thickTop="1" x14ac:dyDescent="0.2">
      <c r="A13" s="49"/>
      <c r="B13" s="16" t="s">
        <v>12</v>
      </c>
      <c r="C13" s="10">
        <v>0</v>
      </c>
      <c r="D13" s="10">
        <v>0</v>
      </c>
      <c r="E13" s="10">
        <v>0</v>
      </c>
      <c r="F13" s="10">
        <v>0</v>
      </c>
      <c r="G13" s="10">
        <v>0</v>
      </c>
      <c r="H13" s="10">
        <v>0</v>
      </c>
      <c r="I13" s="10">
        <v>0</v>
      </c>
      <c r="J13" s="11">
        <v>0</v>
      </c>
      <c r="K13">
        <f t="shared" ref="K13:K14" si="2">SUM(C13:J13)</f>
        <v>0</v>
      </c>
      <c r="L13" s="14" t="s">
        <v>12</v>
      </c>
    </row>
    <row r="14" spans="1:12" x14ac:dyDescent="0.2">
      <c r="A14" s="49"/>
      <c r="B14" s="5" t="s">
        <v>13</v>
      </c>
      <c r="C14" s="10">
        <v>0</v>
      </c>
      <c r="D14" s="10">
        <v>0</v>
      </c>
      <c r="E14" s="10">
        <v>0</v>
      </c>
      <c r="F14" s="10">
        <v>0</v>
      </c>
      <c r="G14" s="10">
        <v>0</v>
      </c>
      <c r="H14" s="10">
        <v>0</v>
      </c>
      <c r="I14" s="10">
        <v>0</v>
      </c>
      <c r="J14" s="11">
        <v>0</v>
      </c>
      <c r="K14">
        <f t="shared" si="2"/>
        <v>0</v>
      </c>
      <c r="L14" s="14" t="s">
        <v>13</v>
      </c>
    </row>
    <row r="15" spans="1:12" x14ac:dyDescent="0.2">
      <c r="A15" s="50"/>
      <c r="B15" s="7" t="s">
        <v>14</v>
      </c>
      <c r="C15" s="12">
        <v>0</v>
      </c>
      <c r="D15" s="12">
        <v>0</v>
      </c>
      <c r="E15" s="12">
        <v>0</v>
      </c>
      <c r="F15" s="12">
        <v>0</v>
      </c>
      <c r="G15" s="12">
        <v>0</v>
      </c>
      <c r="H15" s="12">
        <v>0</v>
      </c>
      <c r="I15" s="12">
        <v>0</v>
      </c>
      <c r="J15" s="13">
        <v>0</v>
      </c>
      <c r="K15">
        <f>SUM(C15:J15)</f>
        <v>0</v>
      </c>
      <c r="L15" s="14" t="s">
        <v>14</v>
      </c>
    </row>
    <row r="16" spans="1:12" ht="16" thickBot="1" x14ac:dyDescent="0.25">
      <c r="A16" s="48" t="s">
        <v>17</v>
      </c>
      <c r="B16" s="6" t="s">
        <v>11</v>
      </c>
      <c r="C16" s="9">
        <v>0</v>
      </c>
      <c r="D16" s="9">
        <v>0</v>
      </c>
      <c r="E16" s="9">
        <v>0</v>
      </c>
      <c r="F16" s="9">
        <v>0</v>
      </c>
      <c r="G16" s="9">
        <v>0</v>
      </c>
      <c r="H16" s="9">
        <v>0</v>
      </c>
      <c r="I16" s="9">
        <v>0</v>
      </c>
      <c r="J16" s="8">
        <v>0</v>
      </c>
      <c r="K16">
        <f>SUM(C16:J16)</f>
        <v>0</v>
      </c>
      <c r="L16" s="14" t="s">
        <v>11</v>
      </c>
    </row>
    <row r="17" spans="1:12" ht="16" thickTop="1" x14ac:dyDescent="0.2">
      <c r="A17" s="49"/>
      <c r="B17" s="16" t="s">
        <v>12</v>
      </c>
      <c r="C17" s="10">
        <v>0</v>
      </c>
      <c r="D17" s="10">
        <v>0</v>
      </c>
      <c r="E17" s="10">
        <v>0</v>
      </c>
      <c r="F17" s="10">
        <v>0</v>
      </c>
      <c r="G17" s="10">
        <v>0</v>
      </c>
      <c r="H17" s="10">
        <v>0</v>
      </c>
      <c r="I17" s="10">
        <v>0</v>
      </c>
      <c r="J17" s="11">
        <v>0</v>
      </c>
      <c r="K17">
        <f t="shared" ref="K17:K18" si="3">SUM(C17:J17)</f>
        <v>0</v>
      </c>
      <c r="L17" s="14" t="s">
        <v>12</v>
      </c>
    </row>
    <row r="18" spans="1:12" x14ac:dyDescent="0.2">
      <c r="A18" s="49"/>
      <c r="B18" s="5" t="s">
        <v>13</v>
      </c>
      <c r="C18" s="10">
        <v>0</v>
      </c>
      <c r="D18" s="10">
        <v>0</v>
      </c>
      <c r="E18" s="10">
        <v>0</v>
      </c>
      <c r="F18" s="10">
        <v>0</v>
      </c>
      <c r="G18" s="10">
        <v>0</v>
      </c>
      <c r="H18" s="10">
        <v>0</v>
      </c>
      <c r="I18" s="10">
        <v>0</v>
      </c>
      <c r="J18" s="11">
        <v>0</v>
      </c>
      <c r="K18">
        <f t="shared" si="3"/>
        <v>0</v>
      </c>
      <c r="L18" s="14" t="s">
        <v>13</v>
      </c>
    </row>
    <row r="19" spans="1:12" x14ac:dyDescent="0.2">
      <c r="A19" s="50"/>
      <c r="B19" s="7" t="s">
        <v>14</v>
      </c>
      <c r="C19" s="12">
        <v>0</v>
      </c>
      <c r="D19" s="12">
        <v>0</v>
      </c>
      <c r="E19" s="12">
        <v>0</v>
      </c>
      <c r="F19" s="12">
        <v>0</v>
      </c>
      <c r="G19" s="12">
        <v>0</v>
      </c>
      <c r="H19" s="12">
        <v>0</v>
      </c>
      <c r="I19" s="12">
        <v>0</v>
      </c>
      <c r="J19" s="13">
        <v>0</v>
      </c>
      <c r="K19">
        <f>SUM(C19:J19)</f>
        <v>0</v>
      </c>
      <c r="L19" s="14" t="s">
        <v>14</v>
      </c>
    </row>
    <row r="20" spans="1:12" ht="16" thickBot="1" x14ac:dyDescent="0.25">
      <c r="A20" s="48" t="s">
        <v>18</v>
      </c>
      <c r="B20" s="6" t="s">
        <v>11</v>
      </c>
      <c r="C20" s="20">
        <v>1</v>
      </c>
      <c r="D20" s="20">
        <v>1</v>
      </c>
      <c r="E20" s="10">
        <v>0</v>
      </c>
      <c r="F20" s="20">
        <v>1</v>
      </c>
      <c r="G20" s="20">
        <v>1</v>
      </c>
      <c r="H20" s="20">
        <v>1</v>
      </c>
      <c r="I20" s="10">
        <v>0</v>
      </c>
      <c r="J20" s="20">
        <v>1</v>
      </c>
      <c r="K20">
        <f>SUM(C20:J20)</f>
        <v>6</v>
      </c>
      <c r="L20" s="14" t="s">
        <v>11</v>
      </c>
    </row>
    <row r="21" spans="1:12" ht="16" thickTop="1" x14ac:dyDescent="0.2">
      <c r="A21" s="49"/>
      <c r="B21" s="16" t="s">
        <v>12</v>
      </c>
      <c r="C21" s="10">
        <v>0</v>
      </c>
      <c r="D21" s="10">
        <v>0</v>
      </c>
      <c r="E21" s="10">
        <v>0</v>
      </c>
      <c r="F21" s="10">
        <v>0</v>
      </c>
      <c r="G21" s="10">
        <v>0</v>
      </c>
      <c r="H21" s="10">
        <v>0</v>
      </c>
      <c r="I21" s="10">
        <v>0</v>
      </c>
      <c r="J21" s="11">
        <v>0</v>
      </c>
      <c r="K21">
        <f t="shared" ref="K21:K22" si="4">SUM(C21:J21)</f>
        <v>0</v>
      </c>
      <c r="L21" s="14" t="s">
        <v>12</v>
      </c>
    </row>
    <row r="22" spans="1:12" x14ac:dyDescent="0.2">
      <c r="A22" s="49"/>
      <c r="B22" s="5" t="s">
        <v>13</v>
      </c>
      <c r="C22" s="10">
        <v>0</v>
      </c>
      <c r="D22" s="10">
        <v>0</v>
      </c>
      <c r="E22" s="10">
        <v>0</v>
      </c>
      <c r="F22" s="10">
        <v>0</v>
      </c>
      <c r="G22" s="10">
        <v>0</v>
      </c>
      <c r="H22" s="10">
        <v>0</v>
      </c>
      <c r="I22" s="10">
        <v>0</v>
      </c>
      <c r="J22" s="11">
        <v>0</v>
      </c>
      <c r="K22">
        <f t="shared" si="4"/>
        <v>0</v>
      </c>
      <c r="L22" s="14" t="s">
        <v>13</v>
      </c>
    </row>
    <row r="23" spans="1:12" x14ac:dyDescent="0.2">
      <c r="A23" s="50"/>
      <c r="B23" s="7" t="s">
        <v>14</v>
      </c>
      <c r="C23" s="12">
        <v>0</v>
      </c>
      <c r="D23" s="12">
        <v>0</v>
      </c>
      <c r="E23" s="12">
        <v>0</v>
      </c>
      <c r="F23" s="12">
        <v>0</v>
      </c>
      <c r="G23" s="12">
        <v>0</v>
      </c>
      <c r="H23" s="12">
        <v>0</v>
      </c>
      <c r="I23" s="12">
        <v>0</v>
      </c>
      <c r="J23" s="13">
        <v>0</v>
      </c>
      <c r="K23">
        <f>SUM(C23:J23)</f>
        <v>0</v>
      </c>
      <c r="L23" s="14" t="s">
        <v>14</v>
      </c>
    </row>
    <row r="24" spans="1:12" x14ac:dyDescent="0.2">
      <c r="A24" s="14" t="s">
        <v>19</v>
      </c>
      <c r="B24" s="14" t="s">
        <v>11</v>
      </c>
      <c r="C24">
        <f t="shared" ref="C24:J25" si="5">SUM(C4,C8,C12,C16,C20)</f>
        <v>3</v>
      </c>
      <c r="D24">
        <f t="shared" si="5"/>
        <v>2</v>
      </c>
      <c r="E24">
        <f t="shared" si="5"/>
        <v>1</v>
      </c>
      <c r="F24">
        <f t="shared" si="5"/>
        <v>4</v>
      </c>
      <c r="G24">
        <f t="shared" si="5"/>
        <v>2</v>
      </c>
      <c r="H24">
        <f t="shared" si="5"/>
        <v>3</v>
      </c>
      <c r="I24">
        <f t="shared" si="5"/>
        <v>2</v>
      </c>
      <c r="J24">
        <f t="shared" si="5"/>
        <v>3</v>
      </c>
    </row>
    <row r="25" spans="1:12" x14ac:dyDescent="0.2">
      <c r="A25" s="15"/>
      <c r="B25" s="14" t="s">
        <v>12</v>
      </c>
      <c r="C25">
        <f t="shared" si="5"/>
        <v>0</v>
      </c>
      <c r="D25">
        <f t="shared" si="5"/>
        <v>0</v>
      </c>
      <c r="E25">
        <f t="shared" si="5"/>
        <v>0</v>
      </c>
      <c r="F25">
        <f t="shared" si="5"/>
        <v>0</v>
      </c>
      <c r="G25">
        <f t="shared" si="5"/>
        <v>0</v>
      </c>
      <c r="H25">
        <f t="shared" si="5"/>
        <v>0</v>
      </c>
      <c r="I25">
        <f t="shared" si="5"/>
        <v>0</v>
      </c>
      <c r="J25">
        <f t="shared" si="5"/>
        <v>0</v>
      </c>
    </row>
    <row r="26" spans="1:12" x14ac:dyDescent="0.2">
      <c r="B26" s="14" t="s">
        <v>13</v>
      </c>
      <c r="C26">
        <f>SUM(C6,C10,C14,C18,C22)</f>
        <v>0</v>
      </c>
      <c r="D26">
        <f>SUM(D6,D10,D14,D18,D22)</f>
        <v>0</v>
      </c>
      <c r="E26">
        <f t="shared" ref="E26:J26" si="6">SUM(E6,E10,E14,E18,E22)</f>
        <v>0</v>
      </c>
      <c r="F26">
        <f t="shared" si="6"/>
        <v>0</v>
      </c>
      <c r="G26">
        <f t="shared" si="6"/>
        <v>0</v>
      </c>
      <c r="H26">
        <f t="shared" si="6"/>
        <v>0</v>
      </c>
      <c r="I26">
        <f t="shared" si="6"/>
        <v>0</v>
      </c>
      <c r="J26">
        <f t="shared" si="6"/>
        <v>0</v>
      </c>
    </row>
    <row r="27" spans="1:12" x14ac:dyDescent="0.2">
      <c r="B27" s="14" t="s">
        <v>14</v>
      </c>
      <c r="C27">
        <f>SUM(C7,C11,C15,C19,C23)</f>
        <v>0</v>
      </c>
      <c r="D27">
        <f>SUM(D7,D11,D15,D19,D23)</f>
        <v>0</v>
      </c>
      <c r="E27">
        <f t="shared" ref="E27:J27" si="7">SUM(E7,E11,E15,E19,E23)</f>
        <v>0</v>
      </c>
      <c r="F27">
        <f t="shared" si="7"/>
        <v>0</v>
      </c>
      <c r="G27">
        <f t="shared" si="7"/>
        <v>0</v>
      </c>
      <c r="H27">
        <f t="shared" si="7"/>
        <v>0</v>
      </c>
      <c r="I27">
        <f t="shared" si="7"/>
        <v>0</v>
      </c>
      <c r="J27">
        <f t="shared" si="7"/>
        <v>0</v>
      </c>
    </row>
  </sheetData>
  <mergeCells count="14">
    <mergeCell ref="A4:A7"/>
    <mergeCell ref="A8:A11"/>
    <mergeCell ref="A12:A15"/>
    <mergeCell ref="A16:A19"/>
    <mergeCell ref="A20:A23"/>
    <mergeCell ref="J2:J3"/>
    <mergeCell ref="A2:B3"/>
    <mergeCell ref="D2:D3"/>
    <mergeCell ref="E2:E3"/>
    <mergeCell ref="F2:F3"/>
    <mergeCell ref="G2:G3"/>
    <mergeCell ref="H2:H3"/>
    <mergeCell ref="I2:I3"/>
    <mergeCell ref="C2: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415C-A979-5549-A22A-E144CA30310D}">
  <dimension ref="A1:J8"/>
  <sheetViews>
    <sheetView zoomScale="140" zoomScaleNormal="140" workbookViewId="0">
      <selection activeCell="C1" sqref="C1:C2"/>
    </sheetView>
  </sheetViews>
  <sheetFormatPr baseColWidth="10" defaultColWidth="11.5" defaultRowHeight="15" x14ac:dyDescent="0.2"/>
  <cols>
    <col min="3" max="10" width="15.1640625" bestFit="1" customWidth="1"/>
  </cols>
  <sheetData>
    <row r="1" spans="1:10" ht="16" thickBot="1" x14ac:dyDescent="0.25">
      <c r="A1" s="43" t="s">
        <v>20</v>
      </c>
      <c r="B1" s="43"/>
      <c r="C1" s="46" t="s">
        <v>1</v>
      </c>
      <c r="D1" s="44" t="s">
        <v>2</v>
      </c>
      <c r="E1" s="44" t="s">
        <v>3</v>
      </c>
      <c r="F1" s="44" t="s">
        <v>4</v>
      </c>
      <c r="G1" s="44" t="s">
        <v>5</v>
      </c>
      <c r="H1" s="44" t="s">
        <v>6</v>
      </c>
      <c r="I1" s="44" t="s">
        <v>7</v>
      </c>
      <c r="J1" s="41" t="s">
        <v>8</v>
      </c>
    </row>
    <row r="2" spans="1:10" ht="16" thickTop="1" x14ac:dyDescent="0.2">
      <c r="A2" s="43"/>
      <c r="B2" s="43"/>
      <c r="C2" s="47"/>
      <c r="D2" s="45"/>
      <c r="E2" s="45"/>
      <c r="F2" s="45"/>
      <c r="G2" s="45"/>
      <c r="H2" s="45"/>
      <c r="I2" s="45"/>
      <c r="J2" s="42"/>
    </row>
    <row r="3" spans="1:10" ht="16" customHeight="1" x14ac:dyDescent="0.2">
      <c r="A3" s="17" t="s">
        <v>10</v>
      </c>
      <c r="B3" s="5" t="s">
        <v>11</v>
      </c>
      <c r="C3" s="18">
        <v>3</v>
      </c>
      <c r="D3" s="18">
        <v>5</v>
      </c>
      <c r="E3" s="18">
        <v>4</v>
      </c>
      <c r="F3" s="18">
        <v>6</v>
      </c>
      <c r="G3" s="18">
        <v>8</v>
      </c>
      <c r="H3" s="18">
        <v>7</v>
      </c>
      <c r="I3" s="18">
        <v>5</v>
      </c>
      <c r="J3" s="18">
        <v>3</v>
      </c>
    </row>
    <row r="4" spans="1:10" ht="16" customHeight="1" thickBot="1" x14ac:dyDescent="0.25">
      <c r="A4" s="4" t="s">
        <v>15</v>
      </c>
      <c r="B4" s="6" t="s">
        <v>11</v>
      </c>
      <c r="C4" s="18">
        <v>6</v>
      </c>
      <c r="D4" s="19"/>
      <c r="E4" s="19"/>
      <c r="F4" s="18">
        <v>5</v>
      </c>
      <c r="G4" s="19"/>
      <c r="H4" s="19"/>
      <c r="I4" s="18">
        <v>8</v>
      </c>
      <c r="J4" s="19"/>
    </row>
    <row r="5" spans="1:10" ht="16" customHeight="1" thickTop="1" thickBot="1" x14ac:dyDescent="0.25">
      <c r="A5" s="3" t="s">
        <v>16</v>
      </c>
      <c r="B5" s="6" t="s">
        <v>11</v>
      </c>
      <c r="C5" s="19"/>
      <c r="D5" s="19"/>
      <c r="E5" s="19"/>
      <c r="F5" s="18">
        <v>3</v>
      </c>
      <c r="G5" s="19"/>
      <c r="H5" s="18">
        <v>8</v>
      </c>
      <c r="I5" s="19"/>
      <c r="J5" s="18">
        <v>4</v>
      </c>
    </row>
    <row r="6" spans="1:10" ht="16" customHeight="1" thickTop="1" thickBot="1" x14ac:dyDescent="0.25">
      <c r="A6" s="3" t="s">
        <v>17</v>
      </c>
      <c r="B6" s="6" t="s">
        <v>11</v>
      </c>
      <c r="C6" s="19"/>
      <c r="D6" s="19"/>
      <c r="E6" s="19"/>
      <c r="F6" s="19"/>
      <c r="G6" s="19"/>
      <c r="H6" s="19"/>
      <c r="I6" s="19"/>
      <c r="J6" s="19"/>
    </row>
    <row r="7" spans="1:10" ht="16" customHeight="1" thickTop="1" thickBot="1" x14ac:dyDescent="0.25">
      <c r="A7" s="3" t="s">
        <v>18</v>
      </c>
      <c r="B7" s="6" t="s">
        <v>11</v>
      </c>
      <c r="C7" s="18">
        <v>5</v>
      </c>
      <c r="D7" s="18">
        <v>5</v>
      </c>
      <c r="E7" s="19"/>
      <c r="F7" s="18">
        <v>3</v>
      </c>
      <c r="G7" s="18">
        <v>9</v>
      </c>
      <c r="H7" s="18">
        <v>4</v>
      </c>
      <c r="I7" s="19"/>
      <c r="J7" s="18">
        <v>5</v>
      </c>
    </row>
    <row r="8" spans="1:10" ht="16" thickTop="1" x14ac:dyDescent="0.2"/>
  </sheetData>
  <mergeCells count="9">
    <mergeCell ref="H1:H2"/>
    <mergeCell ref="I1:I2"/>
    <mergeCell ref="J1:J2"/>
    <mergeCell ref="A1:B2"/>
    <mergeCell ref="C1:C2"/>
    <mergeCell ref="D1:D2"/>
    <mergeCell ref="E1:E2"/>
    <mergeCell ref="F1:F2"/>
    <mergeCell ref="G1:G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33E6-94D5-AA4C-B494-92DCF443CBBE}">
  <dimension ref="A1:K101"/>
  <sheetViews>
    <sheetView tabSelected="1" workbookViewId="0">
      <selection activeCell="D25" sqref="D25"/>
    </sheetView>
  </sheetViews>
  <sheetFormatPr baseColWidth="10" defaultColWidth="11.5" defaultRowHeight="15" x14ac:dyDescent="0.2"/>
  <cols>
    <col min="1" max="1" width="38.1640625" customWidth="1"/>
    <col min="2" max="2" width="19.83203125" customWidth="1"/>
    <col min="3" max="4" width="12.33203125" customWidth="1"/>
    <col min="5" max="5" width="10.83203125" customWidth="1"/>
    <col min="6" max="6" width="19.5" customWidth="1"/>
    <col min="7" max="7" width="17.1640625" customWidth="1"/>
    <col min="8" max="8" width="20.33203125" customWidth="1"/>
    <col min="9" max="9" width="24.33203125" customWidth="1"/>
    <col min="10" max="10" width="28.33203125" customWidth="1"/>
  </cols>
  <sheetData>
    <row r="1" spans="1:11" ht="25" customHeight="1" thickBot="1" x14ac:dyDescent="0.25">
      <c r="A1" s="30" t="s">
        <v>21</v>
      </c>
      <c r="B1" s="30" t="s">
        <v>22</v>
      </c>
      <c r="C1" s="30" t="s">
        <v>23</v>
      </c>
      <c r="D1" s="30" t="s">
        <v>24</v>
      </c>
      <c r="E1" s="30" t="s">
        <v>25</v>
      </c>
      <c r="F1" s="30" t="s">
        <v>26</v>
      </c>
      <c r="G1" s="30" t="s">
        <v>27</v>
      </c>
      <c r="H1" s="30" t="s">
        <v>28</v>
      </c>
      <c r="I1" s="30" t="s">
        <v>29</v>
      </c>
      <c r="J1" s="30" t="s">
        <v>30</v>
      </c>
      <c r="K1" s="30" t="s">
        <v>31</v>
      </c>
    </row>
    <row r="2" spans="1:11" x14ac:dyDescent="0.2">
      <c r="A2" s="31" t="s">
        <v>1</v>
      </c>
      <c r="B2" s="31" t="s">
        <v>32</v>
      </c>
      <c r="C2" s="32" t="s">
        <v>33</v>
      </c>
      <c r="D2" s="32" t="s">
        <v>34</v>
      </c>
      <c r="E2" s="27" t="s">
        <v>35</v>
      </c>
      <c r="F2" s="31" t="s">
        <v>36</v>
      </c>
      <c r="G2" s="27" t="s">
        <v>37</v>
      </c>
      <c r="H2" s="27" t="s">
        <v>38</v>
      </c>
      <c r="I2" s="27" t="s">
        <v>39</v>
      </c>
      <c r="J2" s="27" t="s">
        <v>40</v>
      </c>
      <c r="K2" s="27" t="s">
        <v>41</v>
      </c>
    </row>
    <row r="3" spans="1:11" x14ac:dyDescent="0.2">
      <c r="A3" s="31"/>
      <c r="B3" s="31"/>
      <c r="C3" s="32"/>
      <c r="D3" s="32"/>
      <c r="E3" s="27" t="s">
        <v>42</v>
      </c>
      <c r="F3" s="31"/>
      <c r="G3" s="27" t="s">
        <v>43</v>
      </c>
      <c r="H3" s="27" t="s">
        <v>44</v>
      </c>
      <c r="I3" s="27" t="s">
        <v>45</v>
      </c>
      <c r="J3" s="27" t="s">
        <v>46</v>
      </c>
      <c r="K3" s="27"/>
    </row>
    <row r="4" spans="1:11" x14ac:dyDescent="0.2">
      <c r="A4" s="31"/>
      <c r="B4" s="31"/>
      <c r="C4" s="32"/>
      <c r="D4" s="32"/>
      <c r="E4" s="27" t="s">
        <v>47</v>
      </c>
      <c r="F4" s="31"/>
      <c r="G4" s="27" t="s">
        <v>48</v>
      </c>
      <c r="H4" s="27" t="s">
        <v>49</v>
      </c>
      <c r="I4" s="27" t="s">
        <v>50</v>
      </c>
      <c r="J4" s="27" t="s">
        <v>51</v>
      </c>
      <c r="K4" s="27"/>
    </row>
    <row r="5" spans="1:11" x14ac:dyDescent="0.2">
      <c r="A5" s="33" t="s">
        <v>5</v>
      </c>
      <c r="B5" s="34" t="s">
        <v>52</v>
      </c>
      <c r="C5" s="35" t="s">
        <v>53</v>
      </c>
      <c r="D5" s="35" t="s">
        <v>54</v>
      </c>
      <c r="E5" s="23" t="s">
        <v>55</v>
      </c>
      <c r="F5" s="36" t="s">
        <v>56</v>
      </c>
      <c r="G5" s="36" t="s">
        <v>57</v>
      </c>
      <c r="H5" s="36" t="s">
        <v>58</v>
      </c>
      <c r="I5" s="36" t="s">
        <v>59</v>
      </c>
      <c r="J5" s="36" t="s">
        <v>60</v>
      </c>
      <c r="K5" s="23" t="s">
        <v>61</v>
      </c>
    </row>
    <row r="6" spans="1:11" x14ac:dyDescent="0.2">
      <c r="A6" s="33"/>
      <c r="B6" s="34"/>
      <c r="C6" s="35"/>
      <c r="D6" s="35"/>
      <c r="E6" s="23" t="s">
        <v>62</v>
      </c>
      <c r="F6" s="37"/>
      <c r="G6" s="37"/>
      <c r="H6" s="37"/>
      <c r="I6" s="37"/>
      <c r="J6" s="37"/>
      <c r="K6" s="23"/>
    </row>
    <row r="7" spans="1:11" x14ac:dyDescent="0.2">
      <c r="A7" s="28" t="s">
        <v>7</v>
      </c>
      <c r="B7" s="25" t="s">
        <v>63</v>
      </c>
      <c r="C7" s="26" t="s">
        <v>33</v>
      </c>
      <c r="D7" s="26" t="s">
        <v>34</v>
      </c>
      <c r="E7" s="27" t="s">
        <v>64</v>
      </c>
      <c r="F7" s="25" t="s">
        <v>65</v>
      </c>
      <c r="G7" s="27" t="s">
        <v>65</v>
      </c>
      <c r="H7" s="27" t="s">
        <v>65</v>
      </c>
      <c r="I7" s="27" t="s">
        <v>65</v>
      </c>
      <c r="J7" s="27" t="s">
        <v>65</v>
      </c>
      <c r="K7" s="27" t="s">
        <v>65</v>
      </c>
    </row>
    <row r="8" spans="1:11" x14ac:dyDescent="0.2">
      <c r="A8" s="34" t="s">
        <v>6</v>
      </c>
      <c r="B8" s="34" t="s">
        <v>66</v>
      </c>
      <c r="C8" s="35" t="s">
        <v>67</v>
      </c>
      <c r="D8" s="35" t="s">
        <v>54</v>
      </c>
      <c r="E8" s="23" t="s">
        <v>68</v>
      </c>
      <c r="F8" s="36" t="s">
        <v>69</v>
      </c>
      <c r="G8" s="23" t="s">
        <v>70</v>
      </c>
      <c r="H8" s="23" t="s">
        <v>71</v>
      </c>
      <c r="I8" s="23" t="s">
        <v>72</v>
      </c>
      <c r="J8" s="23" t="s">
        <v>73</v>
      </c>
      <c r="K8" s="23" t="s">
        <v>61</v>
      </c>
    </row>
    <row r="9" spans="1:11" x14ac:dyDescent="0.2">
      <c r="A9" s="34"/>
      <c r="B9" s="34"/>
      <c r="C9" s="35"/>
      <c r="D9" s="35"/>
      <c r="E9" s="23" t="s">
        <v>55</v>
      </c>
      <c r="F9" s="38"/>
      <c r="G9" s="23" t="s">
        <v>74</v>
      </c>
      <c r="H9" s="23" t="s">
        <v>75</v>
      </c>
      <c r="I9" s="23" t="s">
        <v>76</v>
      </c>
      <c r="J9" s="23" t="s">
        <v>77</v>
      </c>
      <c r="K9" s="23"/>
    </row>
    <row r="10" spans="1:11" x14ac:dyDescent="0.2">
      <c r="A10" s="34"/>
      <c r="B10" s="34"/>
      <c r="C10" s="35"/>
      <c r="D10" s="35"/>
      <c r="E10" s="23" t="s">
        <v>62</v>
      </c>
      <c r="F10" s="37"/>
      <c r="G10" s="23" t="s">
        <v>74</v>
      </c>
      <c r="H10" s="23" t="s">
        <v>75</v>
      </c>
      <c r="I10" s="23" t="s">
        <v>76</v>
      </c>
      <c r="J10" s="23" t="s">
        <v>77</v>
      </c>
      <c r="K10" s="23"/>
    </row>
    <row r="11" spans="1:11" x14ac:dyDescent="0.2">
      <c r="A11" s="25" t="s">
        <v>4</v>
      </c>
      <c r="B11" s="25" t="s">
        <v>78</v>
      </c>
      <c r="C11" s="26" t="s">
        <v>67</v>
      </c>
      <c r="D11" s="26" t="s">
        <v>54</v>
      </c>
      <c r="E11" s="27" t="s">
        <v>68</v>
      </c>
      <c r="F11" s="29" t="s">
        <v>79</v>
      </c>
      <c r="G11" s="27" t="s">
        <v>80</v>
      </c>
      <c r="H11" s="27" t="s">
        <v>81</v>
      </c>
      <c r="I11" s="27" t="s">
        <v>82</v>
      </c>
      <c r="J11" s="27" t="s">
        <v>83</v>
      </c>
      <c r="K11" s="27" t="s">
        <v>65</v>
      </c>
    </row>
    <row r="12" spans="1:11" x14ac:dyDescent="0.2">
      <c r="A12" s="24" t="s">
        <v>3</v>
      </c>
      <c r="B12" s="24" t="s">
        <v>84</v>
      </c>
      <c r="C12" s="18" t="s">
        <v>85</v>
      </c>
      <c r="D12" s="18" t="s">
        <v>34</v>
      </c>
      <c r="E12" s="23" t="s">
        <v>86</v>
      </c>
      <c r="F12" s="23" t="s">
        <v>87</v>
      </c>
      <c r="G12" s="23" t="s">
        <v>88</v>
      </c>
      <c r="H12" s="23" t="s">
        <v>89</v>
      </c>
      <c r="I12" s="23" t="s">
        <v>90</v>
      </c>
      <c r="J12" s="23" t="s">
        <v>91</v>
      </c>
      <c r="K12" s="23" t="s">
        <v>65</v>
      </c>
    </row>
    <row r="13" spans="1:11" x14ac:dyDescent="0.2">
      <c r="A13" s="31" t="s">
        <v>2</v>
      </c>
      <c r="B13" s="31" t="s">
        <v>92</v>
      </c>
      <c r="C13" s="32" t="s">
        <v>33</v>
      </c>
      <c r="D13" s="32" t="s">
        <v>34</v>
      </c>
      <c r="E13" s="27" t="s">
        <v>47</v>
      </c>
      <c r="F13" s="39" t="s">
        <v>93</v>
      </c>
      <c r="G13" s="27" t="s">
        <v>94</v>
      </c>
      <c r="H13" s="27" t="s">
        <v>95</v>
      </c>
      <c r="I13" s="27" t="s">
        <v>96</v>
      </c>
      <c r="J13" s="27" t="s">
        <v>97</v>
      </c>
      <c r="K13" s="27" t="s">
        <v>98</v>
      </c>
    </row>
    <row r="14" spans="1:11" x14ac:dyDescent="0.2">
      <c r="A14" s="31"/>
      <c r="B14" s="31"/>
      <c r="C14" s="32"/>
      <c r="D14" s="32"/>
      <c r="E14" s="27" t="s">
        <v>86</v>
      </c>
      <c r="F14" s="40"/>
      <c r="G14" s="27" t="s">
        <v>99</v>
      </c>
      <c r="H14" s="27" t="s">
        <v>100</v>
      </c>
      <c r="I14" s="27" t="s">
        <v>101</v>
      </c>
      <c r="J14" s="27" t="s">
        <v>102</v>
      </c>
      <c r="K14" s="27"/>
    </row>
    <row r="15" spans="1:11" x14ac:dyDescent="0.2">
      <c r="A15" s="24" t="s">
        <v>8</v>
      </c>
      <c r="B15" s="24" t="s">
        <v>103</v>
      </c>
      <c r="C15" s="18" t="s">
        <v>53</v>
      </c>
      <c r="D15" s="18" t="s">
        <v>54</v>
      </c>
      <c r="E15" s="23" t="s">
        <v>104</v>
      </c>
      <c r="F15" s="23"/>
      <c r="G15" s="23"/>
      <c r="H15" s="23"/>
      <c r="I15" s="23"/>
      <c r="J15" s="23" t="s">
        <v>105</v>
      </c>
      <c r="K15" s="23"/>
    </row>
    <row r="45" spans="7:8" x14ac:dyDescent="0.2">
      <c r="G45" s="22"/>
      <c r="H45" s="22"/>
    </row>
    <row r="54" spans="7:10" x14ac:dyDescent="0.2">
      <c r="I54" s="22"/>
      <c r="J54" s="22"/>
    </row>
    <row r="58" spans="7:10" x14ac:dyDescent="0.2">
      <c r="G58" s="22"/>
      <c r="H58" s="22"/>
    </row>
    <row r="64" spans="7:10" x14ac:dyDescent="0.2">
      <c r="I64" s="22"/>
      <c r="J64" s="22"/>
    </row>
    <row r="72" spans="9:10" x14ac:dyDescent="0.2">
      <c r="I72" s="22"/>
      <c r="J72" s="22"/>
    </row>
    <row r="101" spans="9:10" x14ac:dyDescent="0.2">
      <c r="I101" s="22"/>
      <c r="J101" s="22"/>
    </row>
  </sheetData>
  <mergeCells count="24">
    <mergeCell ref="D5:D6"/>
    <mergeCell ref="J5:J6"/>
    <mergeCell ref="F5:F6"/>
    <mergeCell ref="F8:F10"/>
    <mergeCell ref="F13:F14"/>
    <mergeCell ref="G5:G6"/>
    <mergeCell ref="H5:H6"/>
    <mergeCell ref="I5:I6"/>
    <mergeCell ref="F2:F4"/>
    <mergeCell ref="C13:C14"/>
    <mergeCell ref="D13:D14"/>
    <mergeCell ref="A2:A4"/>
    <mergeCell ref="B2:B4"/>
    <mergeCell ref="C2:C4"/>
    <mergeCell ref="D2:D4"/>
    <mergeCell ref="A5:A6"/>
    <mergeCell ref="B5:B6"/>
    <mergeCell ref="A8:A10"/>
    <mergeCell ref="A13:A14"/>
    <mergeCell ref="B13:B14"/>
    <mergeCell ref="B8:B10"/>
    <mergeCell ref="C8:C10"/>
    <mergeCell ref="D8:D10"/>
    <mergeCell ref="C5: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3F4D-C407-644B-8FEB-27712B7E7EC2}">
  <dimension ref="A1:Y3"/>
  <sheetViews>
    <sheetView topLeftCell="A8" zoomScale="120" zoomScaleNormal="120" workbookViewId="0">
      <selection activeCell="I20" sqref="I20"/>
    </sheetView>
  </sheetViews>
  <sheetFormatPr baseColWidth="10" defaultColWidth="11.5" defaultRowHeight="15" x14ac:dyDescent="0.2"/>
  <sheetData>
    <row r="1" spans="1:25" ht="15" customHeight="1" thickBot="1" x14ac:dyDescent="0.25">
      <c r="A1" s="52" t="s">
        <v>332</v>
      </c>
      <c r="B1" s="52"/>
      <c r="C1" s="52"/>
      <c r="D1" s="52"/>
      <c r="E1" s="52"/>
      <c r="F1" s="52"/>
      <c r="G1" s="52"/>
      <c r="H1" s="52"/>
      <c r="I1" s="52"/>
      <c r="J1" s="52"/>
      <c r="K1" s="52"/>
      <c r="L1" s="52"/>
      <c r="M1" s="52"/>
      <c r="N1" s="52"/>
      <c r="O1" s="52"/>
      <c r="P1" s="52"/>
      <c r="Q1" s="52"/>
      <c r="R1" s="52"/>
      <c r="S1" s="52"/>
      <c r="T1" s="52"/>
      <c r="U1" s="52"/>
      <c r="V1" s="52"/>
      <c r="W1" s="52"/>
      <c r="X1" s="52"/>
      <c r="Y1" s="52"/>
    </row>
    <row r="2" spans="1:25" ht="15" customHeight="1" thickTop="1" thickBot="1" x14ac:dyDescent="0.25">
      <c r="A2" s="52"/>
      <c r="B2" s="52"/>
      <c r="C2" s="52"/>
      <c r="D2" s="52"/>
      <c r="E2" s="52"/>
      <c r="F2" s="52"/>
      <c r="G2" s="52"/>
      <c r="H2" s="52"/>
      <c r="I2" s="52"/>
      <c r="J2" s="52"/>
      <c r="K2" s="52"/>
      <c r="L2" s="52"/>
      <c r="M2" s="52"/>
      <c r="N2" s="52"/>
      <c r="O2" s="52"/>
      <c r="P2" s="52"/>
      <c r="Q2" s="52"/>
      <c r="R2" s="52"/>
      <c r="S2" s="52"/>
      <c r="T2" s="52"/>
      <c r="U2" s="52"/>
      <c r="V2" s="52"/>
      <c r="W2" s="52"/>
      <c r="X2" s="52"/>
      <c r="Y2" s="52"/>
    </row>
    <row r="3" spans="1:25" ht="16" thickTop="1" x14ac:dyDescent="0.2"/>
  </sheetData>
  <mergeCells count="1">
    <mergeCell ref="A1: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BD4D-3856-9B4C-B772-1C49D5D56FD2}">
  <dimension ref="A1:I192"/>
  <sheetViews>
    <sheetView workbookViewId="0">
      <selection activeCell="E45" sqref="E45"/>
    </sheetView>
  </sheetViews>
  <sheetFormatPr baseColWidth="10" defaultColWidth="11.5" defaultRowHeight="15" x14ac:dyDescent="0.2"/>
  <cols>
    <col min="1" max="1" width="12.1640625" bestFit="1" customWidth="1"/>
    <col min="2" max="2" width="11.5" bestFit="1" customWidth="1"/>
    <col min="5" max="5" width="30.83203125" bestFit="1" customWidth="1"/>
    <col min="6" max="6" width="17.83203125" bestFit="1" customWidth="1"/>
    <col min="8" max="8" width="77.6640625" bestFit="1" customWidth="1"/>
    <col min="9" max="9" width="11.5" bestFit="1" customWidth="1"/>
  </cols>
  <sheetData>
    <row r="1" spans="1:9" x14ac:dyDescent="0.2">
      <c r="A1" s="2" t="s">
        <v>333</v>
      </c>
      <c r="B1" t="s">
        <v>334</v>
      </c>
      <c r="E1" s="2" t="s">
        <v>333</v>
      </c>
      <c r="F1" t="s">
        <v>335</v>
      </c>
    </row>
    <row r="2" spans="1:9" x14ac:dyDescent="0.2">
      <c r="A2" s="1" t="s">
        <v>68</v>
      </c>
      <c r="B2">
        <v>48</v>
      </c>
      <c r="E2" s="1" t="s">
        <v>110</v>
      </c>
      <c r="F2">
        <v>36</v>
      </c>
    </row>
    <row r="3" spans="1:9" x14ac:dyDescent="0.2">
      <c r="A3" s="1" t="s">
        <v>55</v>
      </c>
      <c r="B3">
        <v>56</v>
      </c>
      <c r="E3" s="1" t="s">
        <v>108</v>
      </c>
      <c r="F3">
        <v>5</v>
      </c>
      <c r="H3" s="2" t="s">
        <v>333</v>
      </c>
      <c r="I3" t="s">
        <v>334</v>
      </c>
    </row>
    <row r="4" spans="1:9" x14ac:dyDescent="0.2">
      <c r="A4" s="1" t="s">
        <v>62</v>
      </c>
      <c r="B4">
        <v>93</v>
      </c>
      <c r="E4" s="1" t="s">
        <v>156</v>
      </c>
      <c r="F4">
        <v>8</v>
      </c>
      <c r="H4" s="1" t="s">
        <v>276</v>
      </c>
      <c r="I4">
        <v>3</v>
      </c>
    </row>
    <row r="5" spans="1:9" x14ac:dyDescent="0.2">
      <c r="A5" s="1" t="s">
        <v>221</v>
      </c>
      <c r="B5">
        <v>117</v>
      </c>
      <c r="E5" s="1" t="s">
        <v>117</v>
      </c>
      <c r="F5">
        <v>7</v>
      </c>
      <c r="H5" s="1" t="s">
        <v>125</v>
      </c>
      <c r="I5">
        <v>6</v>
      </c>
    </row>
    <row r="6" spans="1:9" x14ac:dyDescent="0.2">
      <c r="A6" s="1" t="s">
        <v>263</v>
      </c>
      <c r="B6">
        <v>2</v>
      </c>
      <c r="E6" s="1" t="s">
        <v>226</v>
      </c>
      <c r="F6">
        <v>3</v>
      </c>
      <c r="H6" s="1" t="s">
        <v>183</v>
      </c>
      <c r="I6">
        <v>1</v>
      </c>
    </row>
    <row r="7" spans="1:9" x14ac:dyDescent="0.2">
      <c r="A7" s="1" t="s">
        <v>104</v>
      </c>
      <c r="B7">
        <v>211</v>
      </c>
      <c r="E7" s="1" t="s">
        <v>160</v>
      </c>
      <c r="F7">
        <v>16</v>
      </c>
      <c r="H7" s="1" t="s">
        <v>324</v>
      </c>
      <c r="I7">
        <v>3</v>
      </c>
    </row>
    <row r="8" spans="1:9" x14ac:dyDescent="0.2">
      <c r="A8" s="1" t="s">
        <v>305</v>
      </c>
      <c r="B8">
        <v>110</v>
      </c>
      <c r="E8" s="1" t="s">
        <v>224</v>
      </c>
      <c r="F8">
        <v>1</v>
      </c>
      <c r="H8" s="1" t="s">
        <v>111</v>
      </c>
      <c r="I8">
        <v>4</v>
      </c>
    </row>
    <row r="9" spans="1:9" x14ac:dyDescent="0.2">
      <c r="A9" s="1" t="s">
        <v>327</v>
      </c>
      <c r="B9">
        <v>2</v>
      </c>
      <c r="E9" s="1" t="s">
        <v>141</v>
      </c>
      <c r="F9">
        <v>175</v>
      </c>
      <c r="H9" s="1" t="s">
        <v>290</v>
      </c>
      <c r="I9">
        <v>1</v>
      </c>
    </row>
    <row r="10" spans="1:9" x14ac:dyDescent="0.2">
      <c r="A10" s="1" t="s">
        <v>330</v>
      </c>
      <c r="B10">
        <v>2</v>
      </c>
      <c r="E10" s="1" t="s">
        <v>133</v>
      </c>
      <c r="F10">
        <v>36</v>
      </c>
      <c r="H10" s="1" t="s">
        <v>192</v>
      </c>
      <c r="I10">
        <v>1</v>
      </c>
    </row>
    <row r="11" spans="1:9" x14ac:dyDescent="0.2">
      <c r="A11" s="1" t="s">
        <v>331</v>
      </c>
      <c r="B11">
        <v>1</v>
      </c>
      <c r="E11" s="1" t="s">
        <v>115</v>
      </c>
      <c r="F11">
        <v>5</v>
      </c>
      <c r="H11" s="1" t="s">
        <v>159</v>
      </c>
      <c r="I11">
        <v>10</v>
      </c>
    </row>
    <row r="12" spans="1:9" x14ac:dyDescent="0.2">
      <c r="A12" s="1" t="s">
        <v>336</v>
      </c>
      <c r="B12">
        <v>642</v>
      </c>
      <c r="E12" s="1" t="s">
        <v>153</v>
      </c>
      <c r="F12">
        <v>4</v>
      </c>
      <c r="H12" s="1" t="s">
        <v>232</v>
      </c>
      <c r="I12">
        <v>1</v>
      </c>
    </row>
    <row r="13" spans="1:9" x14ac:dyDescent="0.2">
      <c r="E13" s="1" t="s">
        <v>139</v>
      </c>
      <c r="F13">
        <v>18</v>
      </c>
      <c r="H13" s="1" t="s">
        <v>259</v>
      </c>
      <c r="I13">
        <v>38</v>
      </c>
    </row>
    <row r="14" spans="1:9" x14ac:dyDescent="0.2">
      <c r="E14" s="1" t="s">
        <v>119</v>
      </c>
      <c r="F14">
        <v>8</v>
      </c>
      <c r="H14" s="1" t="s">
        <v>246</v>
      </c>
      <c r="I14">
        <v>1</v>
      </c>
    </row>
    <row r="15" spans="1:9" x14ac:dyDescent="0.2">
      <c r="E15" s="1" t="s">
        <v>147</v>
      </c>
      <c r="F15">
        <v>21</v>
      </c>
      <c r="H15" s="1" t="s">
        <v>282</v>
      </c>
      <c r="I15">
        <v>1</v>
      </c>
    </row>
    <row r="16" spans="1:9" x14ac:dyDescent="0.2">
      <c r="E16" s="1" t="s">
        <v>170</v>
      </c>
      <c r="F16">
        <v>4</v>
      </c>
      <c r="H16" s="1" t="s">
        <v>288</v>
      </c>
      <c r="I16">
        <v>1</v>
      </c>
    </row>
    <row r="17" spans="5:9" x14ac:dyDescent="0.2">
      <c r="E17" s="1" t="s">
        <v>222</v>
      </c>
      <c r="F17">
        <v>3</v>
      </c>
      <c r="H17" s="1" t="s">
        <v>321</v>
      </c>
      <c r="I17">
        <v>1</v>
      </c>
    </row>
    <row r="18" spans="5:9" x14ac:dyDescent="0.2">
      <c r="E18" s="1" t="s">
        <v>173</v>
      </c>
      <c r="F18">
        <v>12</v>
      </c>
      <c r="H18" s="1" t="s">
        <v>176</v>
      </c>
      <c r="I18">
        <v>1</v>
      </c>
    </row>
    <row r="19" spans="5:9" x14ac:dyDescent="0.2">
      <c r="E19" s="1" t="s">
        <v>150</v>
      </c>
      <c r="F19">
        <v>52</v>
      </c>
      <c r="H19" s="1" t="s">
        <v>254</v>
      </c>
      <c r="I19">
        <v>1</v>
      </c>
    </row>
    <row r="20" spans="5:9" x14ac:dyDescent="0.2">
      <c r="E20" s="1" t="s">
        <v>258</v>
      </c>
      <c r="F20">
        <v>1</v>
      </c>
      <c r="H20" s="1" t="s">
        <v>250</v>
      </c>
      <c r="I20">
        <v>2</v>
      </c>
    </row>
    <row r="21" spans="5:9" x14ac:dyDescent="0.2">
      <c r="E21" s="1" t="s">
        <v>131</v>
      </c>
      <c r="F21">
        <v>12</v>
      </c>
      <c r="H21" s="1" t="s">
        <v>120</v>
      </c>
      <c r="I21">
        <v>1</v>
      </c>
    </row>
    <row r="22" spans="5:9" x14ac:dyDescent="0.2">
      <c r="E22" s="1" t="s">
        <v>207</v>
      </c>
      <c r="F22">
        <v>3</v>
      </c>
      <c r="H22" s="1" t="s">
        <v>326</v>
      </c>
      <c r="I22">
        <v>1</v>
      </c>
    </row>
    <row r="23" spans="5:9" x14ac:dyDescent="0.2">
      <c r="E23" s="1" t="s">
        <v>106</v>
      </c>
      <c r="F23">
        <v>7</v>
      </c>
      <c r="H23" s="1" t="s">
        <v>169</v>
      </c>
      <c r="I23">
        <v>6</v>
      </c>
    </row>
    <row r="24" spans="5:9" x14ac:dyDescent="0.2">
      <c r="E24" s="1" t="s">
        <v>126</v>
      </c>
      <c r="F24">
        <v>9</v>
      </c>
      <c r="H24" s="1" t="s">
        <v>292</v>
      </c>
      <c r="I24">
        <v>3</v>
      </c>
    </row>
    <row r="25" spans="5:9" x14ac:dyDescent="0.2">
      <c r="E25" s="1" t="s">
        <v>121</v>
      </c>
      <c r="F25">
        <v>125</v>
      </c>
      <c r="H25" s="1" t="s">
        <v>245</v>
      </c>
      <c r="I25">
        <v>1</v>
      </c>
    </row>
    <row r="26" spans="5:9" x14ac:dyDescent="0.2">
      <c r="E26" s="1" t="s">
        <v>112</v>
      </c>
      <c r="F26">
        <v>5</v>
      </c>
      <c r="H26" s="1" t="s">
        <v>171</v>
      </c>
      <c r="I26">
        <v>1</v>
      </c>
    </row>
    <row r="27" spans="5:9" x14ac:dyDescent="0.2">
      <c r="E27" s="1" t="s">
        <v>184</v>
      </c>
      <c r="F27">
        <v>2</v>
      </c>
      <c r="H27" s="1" t="s">
        <v>146</v>
      </c>
      <c r="I27">
        <v>24</v>
      </c>
    </row>
    <row r="28" spans="5:9" x14ac:dyDescent="0.2">
      <c r="E28" s="1" t="s">
        <v>136</v>
      </c>
      <c r="F28">
        <v>6</v>
      </c>
      <c r="H28" s="1" t="s">
        <v>294</v>
      </c>
      <c r="I28">
        <v>1</v>
      </c>
    </row>
    <row r="29" spans="5:9" x14ac:dyDescent="0.2">
      <c r="E29" s="1" t="s">
        <v>285</v>
      </c>
      <c r="F29">
        <v>1</v>
      </c>
      <c r="H29" s="1" t="s">
        <v>267</v>
      </c>
      <c r="I29">
        <v>2</v>
      </c>
    </row>
    <row r="30" spans="5:9" x14ac:dyDescent="0.2">
      <c r="E30" s="1" t="s">
        <v>145</v>
      </c>
      <c r="F30">
        <v>42</v>
      </c>
      <c r="H30" s="1" t="s">
        <v>278</v>
      </c>
      <c r="I30">
        <v>1</v>
      </c>
    </row>
    <row r="31" spans="5:9" x14ac:dyDescent="0.2">
      <c r="E31" s="1" t="s">
        <v>218</v>
      </c>
      <c r="F31">
        <v>6</v>
      </c>
      <c r="H31" s="1" t="s">
        <v>195</v>
      </c>
      <c r="I31">
        <v>1</v>
      </c>
    </row>
    <row r="32" spans="5:9" x14ac:dyDescent="0.2">
      <c r="E32" s="1" t="s">
        <v>255</v>
      </c>
      <c r="F32">
        <v>4</v>
      </c>
      <c r="H32" s="1" t="s">
        <v>212</v>
      </c>
      <c r="I32">
        <v>3</v>
      </c>
    </row>
    <row r="33" spans="5:9" x14ac:dyDescent="0.2">
      <c r="E33" s="1" t="s">
        <v>260</v>
      </c>
      <c r="F33">
        <v>5</v>
      </c>
      <c r="H33" s="1" t="s">
        <v>223</v>
      </c>
      <c r="I33">
        <v>1</v>
      </c>
    </row>
    <row r="34" spans="5:9" x14ac:dyDescent="0.2">
      <c r="E34" s="1" t="s">
        <v>336</v>
      </c>
      <c r="F34">
        <v>642</v>
      </c>
      <c r="H34" s="1" t="s">
        <v>239</v>
      </c>
      <c r="I34">
        <v>1</v>
      </c>
    </row>
    <row r="35" spans="5:9" x14ac:dyDescent="0.2">
      <c r="H35" s="1" t="s">
        <v>197</v>
      </c>
      <c r="I35">
        <v>1</v>
      </c>
    </row>
    <row r="36" spans="5:9" x14ac:dyDescent="0.2">
      <c r="H36" s="1" t="s">
        <v>257</v>
      </c>
      <c r="I36">
        <v>1</v>
      </c>
    </row>
    <row r="37" spans="5:9" x14ac:dyDescent="0.2">
      <c r="H37" s="1" t="s">
        <v>299</v>
      </c>
      <c r="I37">
        <v>2</v>
      </c>
    </row>
    <row r="38" spans="5:9" x14ac:dyDescent="0.2">
      <c r="H38" s="1" t="s">
        <v>199</v>
      </c>
      <c r="I38">
        <v>2</v>
      </c>
    </row>
    <row r="39" spans="5:9" x14ac:dyDescent="0.2">
      <c r="H39" s="1" t="s">
        <v>287</v>
      </c>
      <c r="I39">
        <v>5</v>
      </c>
    </row>
    <row r="40" spans="5:9" x14ac:dyDescent="0.2">
      <c r="H40" s="1" t="s">
        <v>217</v>
      </c>
      <c r="I40">
        <v>2</v>
      </c>
    </row>
    <row r="41" spans="5:9" x14ac:dyDescent="0.2">
      <c r="H41" s="1" t="s">
        <v>190</v>
      </c>
      <c r="I41">
        <v>1</v>
      </c>
    </row>
    <row r="42" spans="5:9" x14ac:dyDescent="0.2">
      <c r="H42" s="1" t="s">
        <v>309</v>
      </c>
      <c r="I42">
        <v>1</v>
      </c>
    </row>
    <row r="43" spans="5:9" x14ac:dyDescent="0.2">
      <c r="H43" s="1" t="s">
        <v>236</v>
      </c>
      <c r="I43">
        <v>1</v>
      </c>
    </row>
    <row r="44" spans="5:9" x14ac:dyDescent="0.2">
      <c r="H44" s="1" t="s">
        <v>322</v>
      </c>
      <c r="I44">
        <v>1</v>
      </c>
    </row>
    <row r="45" spans="5:9" x14ac:dyDescent="0.2">
      <c r="H45" s="1" t="s">
        <v>107</v>
      </c>
      <c r="I45">
        <v>1</v>
      </c>
    </row>
    <row r="46" spans="5:9" x14ac:dyDescent="0.2">
      <c r="H46" s="1" t="s">
        <v>262</v>
      </c>
      <c r="I46">
        <v>1</v>
      </c>
    </row>
    <row r="47" spans="5:9" x14ac:dyDescent="0.2">
      <c r="H47" s="1" t="s">
        <v>200</v>
      </c>
      <c r="I47">
        <v>2</v>
      </c>
    </row>
    <row r="48" spans="5:9" x14ac:dyDescent="0.2">
      <c r="H48" s="1" t="s">
        <v>279</v>
      </c>
      <c r="I48">
        <v>1</v>
      </c>
    </row>
    <row r="49" spans="8:9" x14ac:dyDescent="0.2">
      <c r="H49" s="1" t="s">
        <v>281</v>
      </c>
      <c r="I49">
        <v>1</v>
      </c>
    </row>
    <row r="50" spans="8:9" x14ac:dyDescent="0.2">
      <c r="H50" s="1" t="s">
        <v>213</v>
      </c>
      <c r="I50">
        <v>2</v>
      </c>
    </row>
    <row r="51" spans="8:9" x14ac:dyDescent="0.2">
      <c r="H51" s="1" t="s">
        <v>320</v>
      </c>
      <c r="I51">
        <v>1</v>
      </c>
    </row>
    <row r="52" spans="8:9" x14ac:dyDescent="0.2">
      <c r="H52" s="1" t="s">
        <v>137</v>
      </c>
      <c r="I52">
        <v>1</v>
      </c>
    </row>
    <row r="53" spans="8:9" x14ac:dyDescent="0.2">
      <c r="H53" s="1" t="s">
        <v>249</v>
      </c>
      <c r="I53">
        <v>1</v>
      </c>
    </row>
    <row r="54" spans="8:9" x14ac:dyDescent="0.2">
      <c r="H54" s="1" t="s">
        <v>289</v>
      </c>
      <c r="I54">
        <v>1</v>
      </c>
    </row>
    <row r="55" spans="8:9" x14ac:dyDescent="0.2">
      <c r="H55" s="1" t="s">
        <v>134</v>
      </c>
      <c r="I55">
        <v>28</v>
      </c>
    </row>
    <row r="56" spans="8:9" x14ac:dyDescent="0.2">
      <c r="H56" s="1" t="s">
        <v>177</v>
      </c>
      <c r="I56">
        <v>1</v>
      </c>
    </row>
    <row r="57" spans="8:9" x14ac:dyDescent="0.2">
      <c r="H57" s="1" t="s">
        <v>140</v>
      </c>
      <c r="I57">
        <v>1</v>
      </c>
    </row>
    <row r="58" spans="8:9" x14ac:dyDescent="0.2">
      <c r="H58" s="1" t="s">
        <v>175</v>
      </c>
      <c r="I58">
        <v>3</v>
      </c>
    </row>
    <row r="59" spans="8:9" x14ac:dyDescent="0.2">
      <c r="H59" s="1" t="s">
        <v>116</v>
      </c>
      <c r="I59">
        <v>4</v>
      </c>
    </row>
    <row r="60" spans="8:9" x14ac:dyDescent="0.2">
      <c r="H60" s="1" t="s">
        <v>233</v>
      </c>
      <c r="I60">
        <v>1</v>
      </c>
    </row>
    <row r="61" spans="8:9" x14ac:dyDescent="0.2">
      <c r="H61" s="1" t="s">
        <v>227</v>
      </c>
      <c r="I61">
        <v>1</v>
      </c>
    </row>
    <row r="62" spans="8:9" x14ac:dyDescent="0.2">
      <c r="H62" s="1" t="s">
        <v>280</v>
      </c>
      <c r="I62">
        <v>3</v>
      </c>
    </row>
    <row r="63" spans="8:9" x14ac:dyDescent="0.2">
      <c r="H63" s="1" t="s">
        <v>300</v>
      </c>
      <c r="I63">
        <v>1</v>
      </c>
    </row>
    <row r="64" spans="8:9" x14ac:dyDescent="0.2">
      <c r="H64" s="1" t="s">
        <v>286</v>
      </c>
      <c r="I64">
        <v>1</v>
      </c>
    </row>
    <row r="65" spans="8:9" x14ac:dyDescent="0.2">
      <c r="H65" s="1" t="s">
        <v>277</v>
      </c>
      <c r="I65">
        <v>1</v>
      </c>
    </row>
    <row r="66" spans="8:9" x14ac:dyDescent="0.2">
      <c r="H66" s="1" t="s">
        <v>198</v>
      </c>
      <c r="I66">
        <v>7</v>
      </c>
    </row>
    <row r="67" spans="8:9" x14ac:dyDescent="0.2">
      <c r="H67" s="1" t="s">
        <v>301</v>
      </c>
      <c r="I67">
        <v>1</v>
      </c>
    </row>
    <row r="68" spans="8:9" x14ac:dyDescent="0.2">
      <c r="H68" s="1" t="s">
        <v>172</v>
      </c>
      <c r="I68">
        <v>1</v>
      </c>
    </row>
    <row r="69" spans="8:9" x14ac:dyDescent="0.2">
      <c r="H69" s="1" t="s">
        <v>202</v>
      </c>
      <c r="I69">
        <v>2</v>
      </c>
    </row>
    <row r="70" spans="8:9" x14ac:dyDescent="0.2">
      <c r="H70" s="1" t="s">
        <v>241</v>
      </c>
      <c r="I70">
        <v>3</v>
      </c>
    </row>
    <row r="71" spans="8:9" x14ac:dyDescent="0.2">
      <c r="H71" s="1" t="s">
        <v>253</v>
      </c>
      <c r="I71">
        <v>2</v>
      </c>
    </row>
    <row r="72" spans="8:9" x14ac:dyDescent="0.2">
      <c r="H72" s="1" t="s">
        <v>272</v>
      </c>
      <c r="I72">
        <v>3</v>
      </c>
    </row>
    <row r="73" spans="8:9" x14ac:dyDescent="0.2">
      <c r="H73" s="1" t="s">
        <v>123</v>
      </c>
      <c r="I73">
        <v>3</v>
      </c>
    </row>
    <row r="74" spans="8:9" x14ac:dyDescent="0.2">
      <c r="H74" s="1" t="s">
        <v>273</v>
      </c>
      <c r="I74">
        <v>5</v>
      </c>
    </row>
    <row r="75" spans="8:9" x14ac:dyDescent="0.2">
      <c r="H75" s="1" t="s">
        <v>296</v>
      </c>
      <c r="I75">
        <v>2</v>
      </c>
    </row>
    <row r="76" spans="8:9" x14ac:dyDescent="0.2">
      <c r="H76" s="1" t="s">
        <v>274</v>
      </c>
      <c r="I76">
        <v>6</v>
      </c>
    </row>
    <row r="77" spans="8:9" x14ac:dyDescent="0.2">
      <c r="H77" s="1" t="s">
        <v>266</v>
      </c>
      <c r="I77">
        <v>2</v>
      </c>
    </row>
    <row r="78" spans="8:9" x14ac:dyDescent="0.2">
      <c r="H78" s="1" t="s">
        <v>304</v>
      </c>
      <c r="I78">
        <v>1</v>
      </c>
    </row>
    <row r="79" spans="8:9" x14ac:dyDescent="0.2">
      <c r="H79" s="1" t="s">
        <v>313</v>
      </c>
      <c r="I79">
        <v>1</v>
      </c>
    </row>
    <row r="80" spans="8:9" x14ac:dyDescent="0.2">
      <c r="H80" s="1" t="s">
        <v>297</v>
      </c>
      <c r="I80">
        <v>1</v>
      </c>
    </row>
    <row r="81" spans="8:9" x14ac:dyDescent="0.2">
      <c r="H81" s="1" t="s">
        <v>118</v>
      </c>
      <c r="I81">
        <v>2</v>
      </c>
    </row>
    <row r="82" spans="8:9" x14ac:dyDescent="0.2">
      <c r="H82" s="1" t="s">
        <v>157</v>
      </c>
      <c r="I82">
        <v>4</v>
      </c>
    </row>
    <row r="83" spans="8:9" x14ac:dyDescent="0.2">
      <c r="H83" s="1" t="s">
        <v>308</v>
      </c>
      <c r="I83">
        <v>1</v>
      </c>
    </row>
    <row r="84" spans="8:9" x14ac:dyDescent="0.2">
      <c r="H84" s="1" t="s">
        <v>265</v>
      </c>
      <c r="I84">
        <v>1</v>
      </c>
    </row>
    <row r="85" spans="8:9" x14ac:dyDescent="0.2">
      <c r="H85" s="1" t="s">
        <v>291</v>
      </c>
      <c r="I85">
        <v>2</v>
      </c>
    </row>
    <row r="86" spans="8:9" x14ac:dyDescent="0.2">
      <c r="H86" s="1" t="s">
        <v>252</v>
      </c>
      <c r="I86">
        <v>1</v>
      </c>
    </row>
    <row r="87" spans="8:9" x14ac:dyDescent="0.2">
      <c r="H87" s="1" t="s">
        <v>114</v>
      </c>
      <c r="I87">
        <v>3</v>
      </c>
    </row>
    <row r="88" spans="8:9" x14ac:dyDescent="0.2">
      <c r="H88" s="1" t="s">
        <v>208</v>
      </c>
      <c r="I88">
        <v>2</v>
      </c>
    </row>
    <row r="89" spans="8:9" x14ac:dyDescent="0.2">
      <c r="H89" s="1" t="s">
        <v>219</v>
      </c>
      <c r="I89">
        <v>1</v>
      </c>
    </row>
    <row r="90" spans="8:9" x14ac:dyDescent="0.2">
      <c r="H90" s="1" t="s">
        <v>240</v>
      </c>
      <c r="I90">
        <v>1</v>
      </c>
    </row>
    <row r="91" spans="8:9" x14ac:dyDescent="0.2">
      <c r="H91" s="1" t="s">
        <v>225</v>
      </c>
      <c r="I91">
        <v>1</v>
      </c>
    </row>
    <row r="92" spans="8:9" x14ac:dyDescent="0.2">
      <c r="H92" s="1" t="s">
        <v>164</v>
      </c>
      <c r="I92">
        <v>1</v>
      </c>
    </row>
    <row r="93" spans="8:9" x14ac:dyDescent="0.2">
      <c r="H93" s="1" t="s">
        <v>234</v>
      </c>
      <c r="I93">
        <v>3</v>
      </c>
    </row>
    <row r="94" spans="8:9" x14ac:dyDescent="0.2">
      <c r="H94" s="1" t="s">
        <v>211</v>
      </c>
      <c r="I94">
        <v>3</v>
      </c>
    </row>
    <row r="95" spans="8:9" x14ac:dyDescent="0.2">
      <c r="H95" s="1" t="s">
        <v>210</v>
      </c>
      <c r="I95">
        <v>4</v>
      </c>
    </row>
    <row r="96" spans="8:9" x14ac:dyDescent="0.2">
      <c r="H96" s="1" t="s">
        <v>143</v>
      </c>
      <c r="I96">
        <v>18</v>
      </c>
    </row>
    <row r="97" spans="8:9" x14ac:dyDescent="0.2">
      <c r="H97" s="1" t="s">
        <v>242</v>
      </c>
      <c r="I97">
        <v>3</v>
      </c>
    </row>
    <row r="98" spans="8:9" x14ac:dyDescent="0.2">
      <c r="H98" s="1" t="s">
        <v>319</v>
      </c>
      <c r="I98">
        <v>1</v>
      </c>
    </row>
    <row r="99" spans="8:9" x14ac:dyDescent="0.2">
      <c r="H99" s="1" t="s">
        <v>132</v>
      </c>
      <c r="I99">
        <v>2</v>
      </c>
    </row>
    <row r="100" spans="8:9" x14ac:dyDescent="0.2">
      <c r="H100" s="1" t="s">
        <v>163</v>
      </c>
      <c r="I100">
        <v>1</v>
      </c>
    </row>
    <row r="101" spans="8:9" x14ac:dyDescent="0.2">
      <c r="H101" s="1" t="s">
        <v>264</v>
      </c>
      <c r="I101">
        <v>2</v>
      </c>
    </row>
    <row r="102" spans="8:9" x14ac:dyDescent="0.2">
      <c r="H102" s="1" t="s">
        <v>174</v>
      </c>
      <c r="I102">
        <v>7</v>
      </c>
    </row>
    <row r="103" spans="8:9" x14ac:dyDescent="0.2">
      <c r="H103" s="1" t="s">
        <v>185</v>
      </c>
      <c r="I103">
        <v>2</v>
      </c>
    </row>
    <row r="104" spans="8:9" x14ac:dyDescent="0.2">
      <c r="H104" s="1" t="s">
        <v>151</v>
      </c>
      <c r="I104">
        <v>3</v>
      </c>
    </row>
    <row r="105" spans="8:9" x14ac:dyDescent="0.2">
      <c r="H105" s="1" t="s">
        <v>244</v>
      </c>
      <c r="I105">
        <v>3</v>
      </c>
    </row>
    <row r="106" spans="8:9" x14ac:dyDescent="0.2">
      <c r="H106" s="1" t="s">
        <v>237</v>
      </c>
      <c r="I106">
        <v>7</v>
      </c>
    </row>
    <row r="107" spans="8:9" x14ac:dyDescent="0.2">
      <c r="H107" s="1" t="s">
        <v>168</v>
      </c>
      <c r="I107">
        <v>10</v>
      </c>
    </row>
    <row r="108" spans="8:9" x14ac:dyDescent="0.2">
      <c r="H108" s="1" t="s">
        <v>149</v>
      </c>
      <c r="I108">
        <v>1</v>
      </c>
    </row>
    <row r="109" spans="8:9" x14ac:dyDescent="0.2">
      <c r="H109" s="1" t="s">
        <v>188</v>
      </c>
      <c r="I109">
        <v>1</v>
      </c>
    </row>
    <row r="110" spans="8:9" x14ac:dyDescent="0.2">
      <c r="H110" s="1" t="s">
        <v>155</v>
      </c>
      <c r="I110">
        <v>1</v>
      </c>
    </row>
    <row r="111" spans="8:9" x14ac:dyDescent="0.2">
      <c r="H111" s="1" t="s">
        <v>269</v>
      </c>
      <c r="I111">
        <v>1</v>
      </c>
    </row>
    <row r="112" spans="8:9" x14ac:dyDescent="0.2">
      <c r="H112" s="1" t="s">
        <v>303</v>
      </c>
      <c r="I112">
        <v>1</v>
      </c>
    </row>
    <row r="113" spans="8:9" x14ac:dyDescent="0.2">
      <c r="H113" s="1" t="s">
        <v>203</v>
      </c>
      <c r="I113">
        <v>1</v>
      </c>
    </row>
    <row r="114" spans="8:9" x14ac:dyDescent="0.2">
      <c r="H114" s="1" t="s">
        <v>178</v>
      </c>
      <c r="I114">
        <v>13</v>
      </c>
    </row>
    <row r="115" spans="8:9" x14ac:dyDescent="0.2">
      <c r="H115" s="1" t="s">
        <v>302</v>
      </c>
      <c r="I115">
        <v>1</v>
      </c>
    </row>
    <row r="116" spans="8:9" x14ac:dyDescent="0.2">
      <c r="H116" s="1" t="s">
        <v>247</v>
      </c>
      <c r="I116">
        <v>2</v>
      </c>
    </row>
    <row r="117" spans="8:9" x14ac:dyDescent="0.2">
      <c r="H117" s="1" t="s">
        <v>231</v>
      </c>
      <c r="I117">
        <v>4</v>
      </c>
    </row>
    <row r="118" spans="8:9" x14ac:dyDescent="0.2">
      <c r="H118" s="1" t="s">
        <v>186</v>
      </c>
      <c r="I118">
        <v>4</v>
      </c>
    </row>
    <row r="119" spans="8:9" x14ac:dyDescent="0.2">
      <c r="H119" s="1" t="s">
        <v>165</v>
      </c>
      <c r="I119">
        <v>6</v>
      </c>
    </row>
    <row r="120" spans="8:9" x14ac:dyDescent="0.2">
      <c r="H120" s="1" t="s">
        <v>312</v>
      </c>
      <c r="I120">
        <v>2</v>
      </c>
    </row>
    <row r="121" spans="8:9" x14ac:dyDescent="0.2">
      <c r="H121" s="1" t="s">
        <v>161</v>
      </c>
      <c r="I121">
        <v>6</v>
      </c>
    </row>
    <row r="122" spans="8:9" x14ac:dyDescent="0.2">
      <c r="H122" s="1" t="s">
        <v>154</v>
      </c>
      <c r="I122">
        <v>1</v>
      </c>
    </row>
    <row r="123" spans="8:9" x14ac:dyDescent="0.2">
      <c r="H123" s="1" t="s">
        <v>284</v>
      </c>
      <c r="I123">
        <v>1</v>
      </c>
    </row>
    <row r="124" spans="8:9" x14ac:dyDescent="0.2">
      <c r="H124" s="1" t="s">
        <v>235</v>
      </c>
      <c r="I124">
        <v>1</v>
      </c>
    </row>
    <row r="125" spans="8:9" x14ac:dyDescent="0.2">
      <c r="H125" s="1" t="s">
        <v>325</v>
      </c>
      <c r="I125">
        <v>1</v>
      </c>
    </row>
    <row r="126" spans="8:9" x14ac:dyDescent="0.2">
      <c r="H126" s="1" t="s">
        <v>181</v>
      </c>
      <c r="I126">
        <v>16</v>
      </c>
    </row>
    <row r="127" spans="8:9" x14ac:dyDescent="0.2">
      <c r="H127" s="1" t="s">
        <v>229</v>
      </c>
      <c r="I127">
        <v>2</v>
      </c>
    </row>
    <row r="128" spans="8:9" x14ac:dyDescent="0.2">
      <c r="H128" s="1" t="s">
        <v>314</v>
      </c>
      <c r="I128">
        <v>1</v>
      </c>
    </row>
    <row r="129" spans="8:9" x14ac:dyDescent="0.2">
      <c r="H129" s="1" t="s">
        <v>182</v>
      </c>
      <c r="I129">
        <v>2</v>
      </c>
    </row>
    <row r="130" spans="8:9" x14ac:dyDescent="0.2">
      <c r="H130" s="1" t="s">
        <v>323</v>
      </c>
      <c r="I130">
        <v>1</v>
      </c>
    </row>
    <row r="131" spans="8:9" x14ac:dyDescent="0.2">
      <c r="H131" s="1" t="s">
        <v>209</v>
      </c>
      <c r="I131">
        <v>3</v>
      </c>
    </row>
    <row r="132" spans="8:9" x14ac:dyDescent="0.2">
      <c r="H132" s="1" t="s">
        <v>216</v>
      </c>
      <c r="I132">
        <v>1</v>
      </c>
    </row>
    <row r="133" spans="8:9" x14ac:dyDescent="0.2">
      <c r="H133" s="1" t="s">
        <v>230</v>
      </c>
      <c r="I133">
        <v>1</v>
      </c>
    </row>
    <row r="134" spans="8:9" x14ac:dyDescent="0.2">
      <c r="H134" s="1" t="s">
        <v>144</v>
      </c>
      <c r="I134">
        <v>10</v>
      </c>
    </row>
    <row r="135" spans="8:9" x14ac:dyDescent="0.2">
      <c r="H135" s="1" t="s">
        <v>206</v>
      </c>
      <c r="I135">
        <v>3</v>
      </c>
    </row>
    <row r="136" spans="8:9" x14ac:dyDescent="0.2">
      <c r="H136" s="1" t="s">
        <v>248</v>
      </c>
      <c r="I136">
        <v>1</v>
      </c>
    </row>
    <row r="137" spans="8:9" x14ac:dyDescent="0.2">
      <c r="H137" s="1" t="s">
        <v>306</v>
      </c>
      <c r="I137">
        <v>2</v>
      </c>
    </row>
    <row r="138" spans="8:9" x14ac:dyDescent="0.2">
      <c r="H138" s="1" t="s">
        <v>201</v>
      </c>
      <c r="I138">
        <v>1</v>
      </c>
    </row>
    <row r="139" spans="8:9" x14ac:dyDescent="0.2">
      <c r="H139" s="1" t="s">
        <v>283</v>
      </c>
      <c r="I139">
        <v>1</v>
      </c>
    </row>
    <row r="140" spans="8:9" x14ac:dyDescent="0.2">
      <c r="H140" s="1" t="s">
        <v>261</v>
      </c>
      <c r="I140">
        <v>2</v>
      </c>
    </row>
    <row r="141" spans="8:9" x14ac:dyDescent="0.2">
      <c r="H141" s="1" t="s">
        <v>295</v>
      </c>
      <c r="I141">
        <v>1</v>
      </c>
    </row>
    <row r="142" spans="8:9" x14ac:dyDescent="0.2">
      <c r="H142" s="1" t="s">
        <v>310</v>
      </c>
      <c r="I142">
        <v>1</v>
      </c>
    </row>
    <row r="143" spans="8:9" x14ac:dyDescent="0.2">
      <c r="H143" s="1" t="s">
        <v>194</v>
      </c>
      <c r="I143">
        <v>1</v>
      </c>
    </row>
    <row r="144" spans="8:9" x14ac:dyDescent="0.2">
      <c r="H144" s="1" t="s">
        <v>204</v>
      </c>
      <c r="I144">
        <v>3</v>
      </c>
    </row>
    <row r="145" spans="8:9" x14ac:dyDescent="0.2">
      <c r="H145" s="1" t="s">
        <v>268</v>
      </c>
      <c r="I145">
        <v>1</v>
      </c>
    </row>
    <row r="146" spans="8:9" x14ac:dyDescent="0.2">
      <c r="H146" s="1" t="s">
        <v>228</v>
      </c>
      <c r="I146">
        <v>2</v>
      </c>
    </row>
    <row r="147" spans="8:9" x14ac:dyDescent="0.2">
      <c r="H147" s="1" t="s">
        <v>205</v>
      </c>
      <c r="I147">
        <v>1</v>
      </c>
    </row>
    <row r="148" spans="8:9" x14ac:dyDescent="0.2">
      <c r="H148" s="1" t="s">
        <v>130</v>
      </c>
      <c r="I148">
        <v>1</v>
      </c>
    </row>
    <row r="149" spans="8:9" x14ac:dyDescent="0.2">
      <c r="H149" s="1" t="s">
        <v>328</v>
      </c>
      <c r="I149">
        <v>1</v>
      </c>
    </row>
    <row r="150" spans="8:9" x14ac:dyDescent="0.2">
      <c r="H150" s="1" t="s">
        <v>128</v>
      </c>
      <c r="I150">
        <v>1</v>
      </c>
    </row>
    <row r="151" spans="8:9" x14ac:dyDescent="0.2">
      <c r="H151" s="1" t="s">
        <v>129</v>
      </c>
      <c r="I151">
        <v>3</v>
      </c>
    </row>
    <row r="152" spans="8:9" x14ac:dyDescent="0.2">
      <c r="H152" s="1" t="s">
        <v>220</v>
      </c>
      <c r="I152">
        <v>1</v>
      </c>
    </row>
    <row r="153" spans="8:9" x14ac:dyDescent="0.2">
      <c r="H153" s="1" t="s">
        <v>187</v>
      </c>
      <c r="I153">
        <v>2</v>
      </c>
    </row>
    <row r="154" spans="8:9" x14ac:dyDescent="0.2">
      <c r="H154" s="1" t="s">
        <v>113</v>
      </c>
      <c r="I154">
        <v>3</v>
      </c>
    </row>
    <row r="155" spans="8:9" x14ac:dyDescent="0.2">
      <c r="H155" s="1" t="s">
        <v>270</v>
      </c>
      <c r="I155">
        <v>1</v>
      </c>
    </row>
    <row r="156" spans="8:9" x14ac:dyDescent="0.2">
      <c r="H156" s="1" t="s">
        <v>189</v>
      </c>
      <c r="I156">
        <v>2</v>
      </c>
    </row>
    <row r="157" spans="8:9" x14ac:dyDescent="0.2">
      <c r="H157" s="1" t="s">
        <v>271</v>
      </c>
      <c r="I157">
        <v>1</v>
      </c>
    </row>
    <row r="158" spans="8:9" x14ac:dyDescent="0.2">
      <c r="H158" s="1" t="s">
        <v>138</v>
      </c>
      <c r="I158">
        <v>1</v>
      </c>
    </row>
    <row r="159" spans="8:9" x14ac:dyDescent="0.2">
      <c r="H159" s="1" t="s">
        <v>317</v>
      </c>
      <c r="I159">
        <v>2</v>
      </c>
    </row>
    <row r="160" spans="8:9" x14ac:dyDescent="0.2">
      <c r="H160" s="1" t="s">
        <v>142</v>
      </c>
      <c r="I160">
        <v>87</v>
      </c>
    </row>
    <row r="161" spans="8:9" x14ac:dyDescent="0.2">
      <c r="H161" s="1" t="s">
        <v>214</v>
      </c>
      <c r="I161">
        <v>11</v>
      </c>
    </row>
    <row r="162" spans="8:9" x14ac:dyDescent="0.2">
      <c r="H162" s="1" t="s">
        <v>158</v>
      </c>
      <c r="I162">
        <v>11</v>
      </c>
    </row>
    <row r="163" spans="8:9" x14ac:dyDescent="0.2">
      <c r="H163" s="1" t="s">
        <v>148</v>
      </c>
      <c r="I163">
        <v>13</v>
      </c>
    </row>
    <row r="164" spans="8:9" x14ac:dyDescent="0.2">
      <c r="H164" s="1" t="s">
        <v>127</v>
      </c>
      <c r="I164">
        <v>1</v>
      </c>
    </row>
    <row r="165" spans="8:9" x14ac:dyDescent="0.2">
      <c r="H165" s="1" t="s">
        <v>243</v>
      </c>
      <c r="I165">
        <v>2</v>
      </c>
    </row>
    <row r="166" spans="8:9" x14ac:dyDescent="0.2">
      <c r="H166" s="1" t="s">
        <v>275</v>
      </c>
      <c r="I166">
        <v>1</v>
      </c>
    </row>
    <row r="167" spans="8:9" x14ac:dyDescent="0.2">
      <c r="H167" s="1" t="s">
        <v>251</v>
      </c>
      <c r="I167">
        <v>1</v>
      </c>
    </row>
    <row r="168" spans="8:9" x14ac:dyDescent="0.2">
      <c r="H168" s="1" t="s">
        <v>193</v>
      </c>
      <c r="I168">
        <v>4</v>
      </c>
    </row>
    <row r="169" spans="8:9" x14ac:dyDescent="0.2">
      <c r="H169" s="1" t="s">
        <v>179</v>
      </c>
      <c r="I169">
        <v>3</v>
      </c>
    </row>
    <row r="170" spans="8:9" x14ac:dyDescent="0.2">
      <c r="H170" s="1" t="s">
        <v>135</v>
      </c>
      <c r="I170">
        <v>1</v>
      </c>
    </row>
    <row r="171" spans="8:9" x14ac:dyDescent="0.2">
      <c r="H171" s="1" t="s">
        <v>316</v>
      </c>
      <c r="I171">
        <v>1</v>
      </c>
    </row>
    <row r="172" spans="8:9" x14ac:dyDescent="0.2">
      <c r="H172" s="1" t="s">
        <v>318</v>
      </c>
      <c r="I172">
        <v>1</v>
      </c>
    </row>
    <row r="173" spans="8:9" x14ac:dyDescent="0.2">
      <c r="H173" s="1" t="s">
        <v>109</v>
      </c>
      <c r="I173">
        <v>1</v>
      </c>
    </row>
    <row r="174" spans="8:9" x14ac:dyDescent="0.2">
      <c r="H174" s="1" t="s">
        <v>152</v>
      </c>
      <c r="I174">
        <v>2</v>
      </c>
    </row>
    <row r="175" spans="8:9" x14ac:dyDescent="0.2">
      <c r="H175" s="1" t="s">
        <v>307</v>
      </c>
      <c r="I175">
        <v>1</v>
      </c>
    </row>
    <row r="176" spans="8:9" x14ac:dyDescent="0.2">
      <c r="H176" s="1" t="s">
        <v>329</v>
      </c>
      <c r="I176">
        <v>1</v>
      </c>
    </row>
    <row r="177" spans="8:9" x14ac:dyDescent="0.2">
      <c r="H177" s="1" t="s">
        <v>162</v>
      </c>
      <c r="I177">
        <v>4</v>
      </c>
    </row>
    <row r="178" spans="8:9" x14ac:dyDescent="0.2">
      <c r="H178" s="1" t="s">
        <v>196</v>
      </c>
      <c r="I178">
        <v>1</v>
      </c>
    </row>
    <row r="179" spans="8:9" x14ac:dyDescent="0.2">
      <c r="H179" s="1" t="s">
        <v>315</v>
      </c>
      <c r="I179">
        <v>1</v>
      </c>
    </row>
    <row r="180" spans="8:9" x14ac:dyDescent="0.2">
      <c r="H180" s="1" t="s">
        <v>311</v>
      </c>
      <c r="I180">
        <v>1</v>
      </c>
    </row>
    <row r="181" spans="8:9" x14ac:dyDescent="0.2">
      <c r="H181" s="1" t="s">
        <v>124</v>
      </c>
      <c r="I181">
        <v>1</v>
      </c>
    </row>
    <row r="182" spans="8:9" x14ac:dyDescent="0.2">
      <c r="H182" s="1" t="s">
        <v>180</v>
      </c>
      <c r="I182">
        <v>8</v>
      </c>
    </row>
    <row r="183" spans="8:9" x14ac:dyDescent="0.2">
      <c r="H183" s="1" t="s">
        <v>215</v>
      </c>
      <c r="I183">
        <v>2</v>
      </c>
    </row>
    <row r="184" spans="8:9" x14ac:dyDescent="0.2">
      <c r="H184" s="1" t="s">
        <v>122</v>
      </c>
      <c r="I184">
        <v>9</v>
      </c>
    </row>
    <row r="185" spans="8:9" x14ac:dyDescent="0.2">
      <c r="H185" s="1" t="s">
        <v>238</v>
      </c>
      <c r="I185">
        <v>6</v>
      </c>
    </row>
    <row r="186" spans="8:9" x14ac:dyDescent="0.2">
      <c r="H186" s="1" t="s">
        <v>293</v>
      </c>
      <c r="I186">
        <v>1</v>
      </c>
    </row>
    <row r="187" spans="8:9" x14ac:dyDescent="0.2">
      <c r="H187" s="1" t="s">
        <v>166</v>
      </c>
      <c r="I187">
        <v>1</v>
      </c>
    </row>
    <row r="188" spans="8:9" x14ac:dyDescent="0.2">
      <c r="H188" s="1" t="s">
        <v>256</v>
      </c>
      <c r="I188">
        <v>1</v>
      </c>
    </row>
    <row r="189" spans="8:9" x14ac:dyDescent="0.2">
      <c r="H189" s="1" t="s">
        <v>167</v>
      </c>
      <c r="I189">
        <v>11</v>
      </c>
    </row>
    <row r="190" spans="8:9" x14ac:dyDescent="0.2">
      <c r="H190" s="1" t="s">
        <v>298</v>
      </c>
      <c r="I190">
        <v>1</v>
      </c>
    </row>
    <row r="191" spans="8:9" x14ac:dyDescent="0.2">
      <c r="H191" s="1" t="s">
        <v>191</v>
      </c>
      <c r="I191">
        <v>2</v>
      </c>
    </row>
    <row r="192" spans="8:9" x14ac:dyDescent="0.2">
      <c r="H192" s="1" t="s">
        <v>336</v>
      </c>
      <c r="I192">
        <v>642</v>
      </c>
    </row>
  </sheetData>
  <pageMargins left="0.7" right="0.7" top="0.75" bottom="0.75" header="0.3" footer="0.3"/>
</worksheet>
</file>

<file path=docMetadata/LabelInfo.xml><?xml version="1.0" encoding="utf-8"?>
<clbl:labelList xmlns:clbl="http://schemas.microsoft.com/office/2020/mipLabelMetadata">
  <clbl:label id="{445a9c95-0f9d-4953-9db1-bc4a45dd1220}" enabled="0" method="" siteId="{445a9c95-0f9d-4953-9db1-bc4a45dd1220}"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RQ2</vt:lpstr>
      <vt:lpstr>RQ3</vt:lpstr>
      <vt:lpstr>Deploy_Odoo</vt: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Moustapha Awwalou DIOUF</cp:lastModifiedBy>
  <cp:revision/>
  <dcterms:created xsi:type="dcterms:W3CDTF">2025-08-20T02:24:32Z</dcterms:created>
  <dcterms:modified xsi:type="dcterms:W3CDTF">2026-04-22T23:32:51Z</dcterms:modified>
  <cp:category/>
  <cp:contentStatus/>
</cp:coreProperties>
</file>